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037639ea2f40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35bfa5648094a71"/>
    <x:sheet xmlns:r="http://schemas.openxmlformats.org/officeDocument/2006/relationships" name="Canon 100" sheetId="2" r:id="R896840c5742b4aa8"/>
    <x:sheet xmlns:r="http://schemas.openxmlformats.org/officeDocument/2006/relationships" name="New Arrivals 2024-2026" sheetId="3" r:id="Rc404d941829b41fa"/>
    <x:sheet xmlns:r="http://schemas.openxmlformats.org/officeDocument/2006/relationships" name="Rule of 7" sheetId="4" r:id="Ra4c295c91ccd450e"/>
    <x:sheet xmlns:r="http://schemas.openxmlformats.org/officeDocument/2006/relationships" name="Sources" sheetId="5" r:id="R3a6b14adbaff4c50"/>
    <x:sheet xmlns:r="http://schemas.openxmlformats.org/officeDocument/2006/relationships" name="Lists" sheetId="6" r:id="R0d7ba7d57fa447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24"/>
      <x:color rgb="FFFFB800"/>
      <x:name val="Carlito"/>
    </x:font>
    <x:font>
      <x:i/>
      <x:sz val="12"/>
      <x:color rgb="FFFFFFFF"/>
      <x:name val="Carlito"/>
    </x:font>
    <x:font>
      <x:b/>
      <x:sz val="11"/>
      <x:color rgb="FFFFFFFF"/>
      <x:name val="Carlito"/>
    </x:font>
    <x:font>
      <x:b/>
      <x:sz val="14"/>
      <x:color rgb="FF0B1F4A"/>
      <x:name val="Carlito"/>
    </x:font>
    <x:font>
      <x:b/>
      <x:sz val="11"/>
      <x:color rgb="FFFFB800"/>
      <x:name val="Carlito"/>
    </x:font>
    <x:font>
      <x:sz val="11"/>
      <x:color rgb="FF0B1F4A"/>
      <x:name val="Carlito"/>
    </x:font>
    <x:font>
      <x:b/>
      <x:sz val="20"/>
      <x:color rgb="FFFFFFFF"/>
      <x:name val="Carlito"/>
    </x:font>
    <x:font>
      <x:b/>
      <x:sz val="11"/>
      <x:color rgb="FF0B1F4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162D60"/>
      </x:patternFill>
    </x:fill>
    <x:fill>
      <x:patternFill patternType="solid">
        <x:fgColor rgb="FFE50914"/>
      </x:patternFill>
    </x:fill>
    <x:fill>
      <x:patternFill patternType="solid">
        <x:fgColor rgb="FFF5F7FB"/>
      </x:patternFill>
    </x:fill>
    <x:fill>
      <x:patternFill patternType="solid">
        <x:fgColor rgb="FFFFB800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/>
    <x:xf numFmtId="0" fontId="8" fillId="6" borderId="1" xfId="0" applyNumberFormat="1" applyFont="1" applyFill="1" applyBorder="1"/>
  </x:cellXfs>
  <x:cellStyles count="1">
    <x:cellStyle name="Normal" xfId="0"/>
  </x:cellStyles>
  <x:dxfs count="8">
    <x:dxf>
      <x:font>
        <x:b/>
        <x:color rgb="FF7C5200"/>
      </x:font>
      <x:fill>
        <x:patternFill patternType="solid">
          <x:bgColor rgb="FFFFF3BF"/>
        </x:patternFill>
      </x:fill>
    </x:dxf>
    <x:dxf>
      <x:font>
        <x:b/>
        <x:color rgb="FF0B1F4A"/>
      </x:font>
      <x:fill>
        <x:patternFill patternType="solid">
          <x:bgColor rgb="FFDCEAFE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  <x:dxf>
      <x:fill>
        <x:patternFill patternType="solid">
          <x:bgColor rgb="FFF8FAFC"/>
        </x:patternFill>
      </x:fill>
    </x:dxf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94e5aaeb5c4bc3" /><Relationship Type="http://schemas.openxmlformats.org/officeDocument/2006/relationships/theme" Target="/xl/theme/theme1.xml" Id="Rf1d94ec8c5f04054" /><Relationship Type="http://schemas.openxmlformats.org/officeDocument/2006/relationships/sharedStrings" Target="/xl/sharedStrings.xml" Id="R9156c3b795e64033" /><Relationship Type="http://schemas.openxmlformats.org/officeDocument/2006/relationships/worksheet" Target="/xl/worksheets/sheet1.xml" Id="Rf35bfa5648094a71" /><Relationship Type="http://schemas.openxmlformats.org/officeDocument/2006/relationships/worksheet" Target="/xl/worksheets/sheet2.xml" Id="R896840c5742b4aa8" /><Relationship Type="http://schemas.openxmlformats.org/officeDocument/2006/relationships/worksheet" Target="/xl/worksheets/sheet3.xml" Id="Rc404d941829b41fa" /><Relationship Type="http://schemas.openxmlformats.org/officeDocument/2006/relationships/worksheet" Target="/xl/worksheets/sheet4.xml" Id="Ra4c295c91ccd450e" /><Relationship Type="http://schemas.openxmlformats.org/officeDocument/2006/relationships/worksheet" Target="/xl/worksheets/sheet5.xml" Id="R3a6b14adbaff4c50" /><Relationship Type="http://schemas.openxmlformats.org/officeDocument/2006/relationships/worksheet" Target="/xl/worksheets/sheet6.xml" Id="R0d7ba7d57fa4473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b88bc83898d46c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Canon by Tier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'Dashboard'!$J$3:$J$5</c:f>
              <c:strCache>
                <c:ptCount val="0"/>
              </c:strCache>
            </c:strRef>
          </c:cat>
          <c:val>
            <c:numRef>
              <c:f>'Dashboard'!$K$3:$K$5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6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88bc83898d46c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omcomCanonTable" displayName="RomcomCanonTable" ref="A1:N101" headerRowCount="1">
  <x:tableColumns count="14">
    <x:tableColumn id="1" name="Canon ID"/>
    <x:tableColumn id="2" name="Title"/>
    <x:tableColumn id="3" name="Year"/>
    <x:tableColumn id="4" name="Type"/>
    <x:tableColumn id="5" name="Country"/>
    <x:tableColumn id="6" name="Language"/>
    <x:tableColumn id="7" name="Tier"/>
    <x:tableColumn id="8" name="Primary Identity"/>
    <x:tableColumn id="9" name="Recommendation Roles"/>
    <x:tableColumn id="10" name="Viewer Fit"/>
    <x:tableColumn id="11" name="Era"/>
    <x:tableColumn id="12" name="Curator Rationale"/>
    <x:tableColumn id="13" name="Status"/>
    <x:tableColumn id="14" name="Source Consensus"/>
  </x:tableColumns>
  <x:tableStyleInfo name="TableStyleMedium2" showRowStripes="1"/>
</x:table>
</file>

<file path=xl/tables/table2.xml><?xml version="1.0" encoding="utf-8"?>
<x:table xmlns:x="http://schemas.openxmlformats.org/spreadsheetml/2006/main" id="2" name="RomcomArrivalsTable" displayName="RomcomArrivalsTable" ref="A1:N19" headerRowCount="1">
  <x:tableColumns count="14">
    <x:tableColumn id="1" name="Arrival ID"/>
    <x:tableColumn id="2" name="Title"/>
    <x:tableColumn id="3" name="Year"/>
    <x:tableColumn id="4" name="Type"/>
    <x:tableColumn id="5" name="Country"/>
    <x:tableColumn id="6" name="Language"/>
    <x:tableColumn id="7" name="Editorial Status"/>
    <x:tableColumn id="8" name="Tropes / Positioning"/>
    <x:tableColumn id="9" name="Market Evidence"/>
    <x:tableColumn id="10" name="TMDB Gate"/>
    <x:tableColumn id="11" name="My Ciné Editorial Note"/>
    <x:tableColumn id="12" name="Primary Source"/>
    <x:tableColumn id="13" name="Secondary Source"/>
    <x:tableColumn id="14" name="Last Reviewed"/>
  </x:tableColumns>
  <x:tableStyleInfo name="TableStyleMedium2" showRowStripes="1"/>
</x:table>
</file>

<file path=xl/tables/table3.xml><?xml version="1.0" encoding="utf-8"?>
<x:table xmlns:x="http://schemas.openxmlformats.org/spreadsheetml/2006/main" id="3" name="RomcomSourcesTable" displayName="RomcomSourcesTable" ref="A1:C11" headerRowCount="1">
  <x:tableColumns count="3">
    <x:tableColumn id="1" name="Source"/>
    <x:tableColumn id="2" name="Use in Database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8dd7757016d46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61dcf94e0e44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e608d6108a47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aa42fa147914fb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5" t="str">
        <x:v>MY CINÉ ROMCOM DATABASE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  <x:c r="J2" t="str">
        <x:v>Tier</x:v>
      </x:c>
      <x:c r="K2" t="str">
        <x:v>Count</x:v>
      </x:c>
    </x:row>
    <x:row r="3">
      <x:c r="A3" s="12" t="str">
        <x:v>Permanent Canon + Rolling New-Arrival Editorial Audit</x:v>
      </x:c>
      <x:c r="B3" s="12"/>
      <x:c r="C3" s="12"/>
      <x:c r="D3" s="12"/>
      <x:c r="E3" s="12"/>
      <x:c r="F3" s="12"/>
      <x:c r="G3" s="12"/>
      <x:c r="H3" s="12"/>
      <x:c r="J3" t="str">
        <x:v>Masterpiece</x:v>
      </x:c>
      <x:c r="K3" t="n">
        <x:v>25</x:v>
      </x:c>
    </x:row>
    <x:row r="4">
      <x:c r="J4" t="str">
        <x:v>Essential</x:v>
      </x:c>
      <x:c r="K4" t="n">
        <x:v>40</x:v>
      </x:c>
    </x:row>
    <x:row r="5">
      <x:c r="A5" s="18" t="str">
        <x:v>Canon Titles</x:v>
      </x:c>
      <x:c r="B5" s="18" t="str">
        <x:v>Films</x:v>
      </x:c>
      <x:c r="C5" s="18" t="str">
        <x:v>Series</x:v>
      </x:c>
      <x:c r="D5" s="18" t="str">
        <x:v>Countries</x:v>
      </x:c>
      <x:c r="E5" s="18" t="str">
        <x:v>Languages</x:v>
      </x:c>
      <x:c r="F5" s="18" t="str">
        <x:v>Recent Candidates</x:v>
      </x:c>
      <x:c r="G5" s="18" t="str">
        <x:v>Approved New</x:v>
      </x:c>
      <x:c r="H5" s="18" t="str">
        <x:v>Pending Review</x:v>
      </x:c>
      <x:c r="J5" t="str">
        <x:v>Outstanding</x:v>
      </x:c>
      <x:c r="K5" t="n">
        <x:v>35</x:v>
      </x:c>
    </x:row>
    <x:row r="6">
      <x:c r="A6" s="24" t="n">
        <x:f>COUNTA('Canon 100'!B2:B101)</x:f>
        <x:v>100</x:v>
      </x:c>
      <x:c r="B6" s="24" t="n">
        <x:f>COUNTIF('Canon 100'!D2:D101,"Film")</x:f>
        <x:v>85</x:v>
      </x:c>
      <x:c r="C6" s="24" t="n">
        <x:f>COUNTIF('Canon 100'!D2:D101,"Series")</x:f>
        <x:v>15</x:v>
      </x:c>
      <x:c r="D6" s="24" t="n">
        <x:v>11</x:v>
      </x:c>
      <x:c r="E6" s="24" t="n">
        <x:v>7</x:v>
      </x:c>
      <x:c r="F6" s="24" t="n">
        <x:f>COUNTA('New Arrivals 2024-2026'!B2:B200)</x:f>
        <x:v>18</x:v>
      </x:c>
      <x:c r="G6" s="24" t="n">
        <x:f>COUNTIF('New Arrivals 2024-2026'!G2:G200,"Approved")</x:f>
        <x:v>2</x:v>
      </x:c>
      <x:c r="H6" s="24" t="n">
        <x:f>COUNTIF('New Arrivals 2024-2026'!G2:G200,"Candidate")+COUNTIF('New Arrivals 2024-2026'!G2:G200,"Review")</x:f>
        <x:v>16</x:v>
      </x:c>
    </x:row>
    <x:row r="8">
      <x:c r="A8" s="29" t="str">
        <x:v>Database Principles</x:v>
      </x:c>
      <x:c r="B8" s="29"/>
      <x:c r="C8" s="29"/>
      <x:c r="D8" s="29"/>
      <x:c r="E8" s="29"/>
      <x:c r="F8" s="29"/>
      <x:c r="G8" s="29"/>
      <x:c r="H8" s="29"/>
    </x:row>
    <x:row r="9">
      <x:c r="A9" s="33" t="str">
        <x:v>1</x:v>
      </x:c>
      <x:c r="B9" s="37" t="str">
        <x:v>Primary identity must be Romcom. Romance and comedy both drive the experience.</x:v>
      </x:c>
    </x:row>
    <x:row r="10">
      <x:c r="A10" s="33" t="str">
        <x:v>2</x:v>
      </x:c>
      <x:c r="B10" s="37" t="str">
        <x:v>The permanent Canon changes rarely. New arrivals are audited continuously.</x:v>
      </x:c>
    </x:row>
    <x:row r="11">
      <x:c r="A11" s="33" t="str">
        <x:v>3</x:v>
      </x:c>
      <x:c r="B11" s="37" t="str">
        <x:v>A title must pass the live TMDB ≥75% gate before appearing in the app.</x:v>
      </x:c>
    </x:row>
    <x:row r="12">
      <x:c r="A12" s="33" t="str">
        <x:v>4</x:v>
      </x:c>
      <x:c r="B12" s="37" t="str">
        <x:v>The Rule of Seven balances new, famous, classic, international, discovery, auteur and surprise.</x:v>
      </x:c>
    </x:row>
    <x:row r="13">
      <x:c r="A13" s="33" t="str">
        <x:v>5</x:v>
      </x:c>
      <x:c r="B13" s="37" t="str">
        <x:v>No repeats within seven exploration batches. No country, decade or platform dominates.</x:v>
      </x:c>
    </x:row>
    <x:row r="15">
      <x:c r="A15" s="17" t="str">
        <x:v>Immediate Editorial Decision: Office Romance</x:v>
      </x:c>
      <x:c r="B15" s="17"/>
      <x:c r="C15" s="17"/>
      <x:c r="D15" s="17"/>
      <x:c r="E15" s="17"/>
      <x:c r="F15" s="17"/>
      <x:c r="G15" s="17"/>
      <x:c r="H15" s="17"/>
    </x:row>
    <x:row r="16">
      <x:c r="A16" s="40" t="str">
        <x:v>Office Romance is tracked as a 2026 Candidate. Netflix officially describes it as a rom-com and reports 58M views in the first half of 2026. It becomes app-eligible only after My Ciné approves its quality and its live TMDB score reaches at least 75%.</x:v>
      </x:c>
      <x:c r="B16" s="40"/>
      <x:c r="C16" s="40"/>
      <x:c r="D16" s="40"/>
      <x:c r="E16" s="40"/>
      <x:c r="F16" s="40"/>
      <x:c r="G16" s="40"/>
      <x:c r="H16" s="40"/>
    </x:row>
    <x:row r="17">
      <x:c r="A17" s="40"/>
      <x:c r="B17" s="40"/>
      <x:c r="C17" s="40"/>
      <x:c r="D17" s="40"/>
      <x:c r="E17" s="40"/>
      <x:c r="F17" s="40"/>
      <x:c r="G17" s="40"/>
      <x:c r="H17" s="40"/>
    </x:row>
    <x:row r="18">
      <x:c r="A18" s="40"/>
      <x:c r="B18" s="40"/>
      <x:c r="C18" s="40"/>
      <x:c r="D18" s="40"/>
      <x:c r="E18" s="40"/>
      <x:c r="F18" s="40"/>
      <x:c r="G18" s="40"/>
      <x:c r="H18" s="40"/>
    </x:row>
  </x:sheetData>
  <x:mergeCells>
    <x:mergeCell ref="A1:H2"/>
    <x:mergeCell ref="A3:H3"/>
    <x:mergeCell ref="A8:H8"/>
    <x:mergeCell ref="A15:H15"/>
    <x:mergeCell ref="A16:H18"/>
  </x:mergeCells>
  <x:pageMargins left="0.7" right="0.7" top="0.75" bottom="0.75" header="0.3" footer="0.3"/>
  <x:drawing xmlns:r="http://schemas.openxmlformats.org/officeDocument/2006/relationships" r:id="R68dd7757016d46d4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8" hidden="0" customWidth="1"/>
    <x:col min="4" max="4" width="10" hidden="0" customWidth="1"/>
    <x:col min="5" max="5" width="16" hidden="0" customWidth="1"/>
    <x:col min="6" max="6" width="13" hidden="0" customWidth="1"/>
    <x:col min="7" max="7" width="14" hidden="0" customWidth="1"/>
    <x:col min="8" max="8" width="15" hidden="0" customWidth="1"/>
    <x:col min="9" max="9" width="26" hidden="0" customWidth="1"/>
    <x:col min="10" max="10" width="27" hidden="0" customWidth="1"/>
    <x:col min="11" max="11" width="10" hidden="0" customWidth="1"/>
    <x:col min="12" max="12" width="42" hidden="0" customWidth="1"/>
    <x:col min="13" max="13" width="12" hidden="0" customWidth="1"/>
    <x:col min="14" max="14" width="45" hidden="0" customWidth="1"/>
  </x:cols>
  <x:sheetData>
    <x:row r="1">
      <x:c r="A1" s="43" t="str">
        <x:v>Canon ID</x:v>
      </x:c>
      <x:c r="B1" s="43" t="str">
        <x:v>Title</x:v>
      </x:c>
      <x:c r="C1" s="43" t="str">
        <x:v>Year</x:v>
      </x:c>
      <x:c r="D1" s="43" t="str">
        <x:v>Type</x:v>
      </x:c>
      <x:c r="E1" s="43" t="str">
        <x:v>Country</x:v>
      </x:c>
      <x:c r="F1" s="43" t="str">
        <x:v>Language</x:v>
      </x:c>
      <x:c r="G1" s="43" t="str">
        <x:v>Tier</x:v>
      </x:c>
      <x:c r="H1" s="43" t="str">
        <x:v>Primary Identity</x:v>
      </x:c>
      <x:c r="I1" s="43" t="str">
        <x:v>Recommendation Roles</x:v>
      </x:c>
      <x:c r="J1" s="43" t="str">
        <x:v>Viewer Fit</x:v>
      </x:c>
      <x:c r="K1" s="43" t="str">
        <x:v>Era</x:v>
      </x:c>
      <x:c r="L1" s="43" t="str">
        <x:v>Curator Rationale</x:v>
      </x:c>
      <x:c r="M1" s="43" t="str">
        <x:v>Status</x:v>
      </x:c>
      <x:c r="N1" s="43" t="str">
        <x:v>Source Consensus</x:v>
      </x:c>
    </x:row>
    <x:row r="2">
      <x:c r="A2" s="46" t="str">
        <x:v>RC-001</x:v>
      </x:c>
      <x:c r="B2" s="46" t="str">
        <x:v>When Harry Met Sally...</x:v>
      </x:c>
      <x:c r="C2" s="46" t="n">
        <x:v>1989</x:v>
      </x:c>
      <x:c r="D2" s="46" t="str">
        <x:v>Film</x:v>
      </x:c>
      <x:c r="E2" s="46" t="str">
        <x:v>United States</x:v>
      </x:c>
      <x:c r="F2" s="46" t="str">
        <x:v>English</x:v>
      </x:c>
      <x:c r="G2" s="46" t="str">
        <x:v>Masterpiece</x:v>
      </x:c>
      <x:c r="H2" s="46" t="str">
        <x:v>Romcom</x:v>
      </x:c>
      <x:c r="I2" s="46" t="str">
        <x:v>Classic Choice; Critics' Choice</x:v>
      </x:c>
      <x:c r="J2" s="46" t="str">
        <x:v>Casual 10; Specialist 10; Cinephile 9</x:v>
      </x:c>
      <x:c r="K2" s="46" t="str">
        <x:v>Modern</x:v>
      </x:c>
      <x:c r="L2" s="46" t="str">
        <x:v>Friends-to-lovers benchmark; witty, warm, endlessly rewatchable</x:v>
      </x:c>
      <x:c r="M2" s="46" t="str">
        <x:v>Approved</x:v>
      </x:c>
      <x:c r="N2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3">
      <x:c r="A3" s="46" t="str">
        <x:v>RC-002</x:v>
      </x:c>
      <x:c r="B3" s="46" t="str">
        <x:v>The Apartment</x:v>
      </x:c>
      <x:c r="C3" s="46" t="n">
        <x:v>1960</x:v>
      </x:c>
      <x:c r="D3" s="46" t="str">
        <x:v>Film</x:v>
      </x:c>
      <x:c r="E3" s="46" t="str">
        <x:v>United States</x:v>
      </x:c>
      <x:c r="F3" s="46" t="str">
        <x:v>English</x:v>
      </x:c>
      <x:c r="G3" s="46" t="str">
        <x:v>Masterpiece</x:v>
      </x:c>
      <x:c r="H3" s="46" t="str">
        <x:v>Romcom</x:v>
      </x:c>
      <x:c r="I3" s="46" t="str">
        <x:v>Classic Choice; Critics' Choice</x:v>
      </x:c>
      <x:c r="J3" s="46" t="str">
        <x:v>Casual 8; Specialist 10; Cinephile 10</x:v>
      </x:c>
      <x:c r="K3" s="46" t="str">
        <x:v>Classic</x:v>
      </x:c>
      <x:c r="L3" s="46" t="str">
        <x:v>Bittersweet workplace romance with exceptional writing and emotional payoff</x:v>
      </x:c>
      <x:c r="M3" s="46" t="str">
        <x:v>Approved</x:v>
      </x:c>
      <x:c r="N3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4">
      <x:c r="A4" s="46" t="str">
        <x:v>RC-003</x:v>
      </x:c>
      <x:c r="B4" s="46" t="str">
        <x:v>It Happened One Night</x:v>
      </x:c>
      <x:c r="C4" s="46" t="n">
        <x:v>1934</x:v>
      </x:c>
      <x:c r="D4" s="46" t="str">
        <x:v>Film</x:v>
      </x:c>
      <x:c r="E4" s="46" t="str">
        <x:v>United States</x:v>
      </x:c>
      <x:c r="F4" s="46" t="str">
        <x:v>English</x:v>
      </x:c>
      <x:c r="G4" s="46" t="str">
        <x:v>Masterpiece</x:v>
      </x:c>
      <x:c r="H4" s="46" t="str">
        <x:v>Romcom</x:v>
      </x:c>
      <x:c r="I4" s="46" t="str">
        <x:v>Classic Choice; Critics' Choice</x:v>
      </x:c>
      <x:c r="J4" s="46" t="str">
        <x:v>Casual 8; Specialist 10; Cinephile 10</x:v>
      </x:c>
      <x:c r="K4" s="46" t="str">
        <x:v>Classic</x:v>
      </x:c>
      <x:c r="L4" s="46" t="str">
        <x:v>Foundational screwball romcom; fast, funny, romantic</x:v>
      </x:c>
      <x:c r="M4" s="46" t="str">
        <x:v>Approved</x:v>
      </x:c>
      <x:c r="N4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5">
      <x:c r="A5" s="46" t="str">
        <x:v>RC-004</x:v>
      </x:c>
      <x:c r="B5" s="46" t="str">
        <x:v>Roman Holiday</x:v>
      </x:c>
      <x:c r="C5" s="46" t="n">
        <x:v>1953</x:v>
      </x:c>
      <x:c r="D5" s="46" t="str">
        <x:v>Film</x:v>
      </x:c>
      <x:c r="E5" s="46" t="str">
        <x:v>United States</x:v>
      </x:c>
      <x:c r="F5" s="46" t="str">
        <x:v>English</x:v>
      </x:c>
      <x:c r="G5" s="46" t="str">
        <x:v>Masterpiece</x:v>
      </x:c>
      <x:c r="H5" s="46" t="str">
        <x:v>Romcom</x:v>
      </x:c>
      <x:c r="I5" s="46" t="str">
        <x:v>Classic Choice; Passport Pick</x:v>
      </x:c>
      <x:c r="J5" s="46" t="str">
        <x:v>Casual 9; Specialist 10; Cinephile 10</x:v>
      </x:c>
      <x:c r="K5" s="46" t="str">
        <x:v>Classic</x:v>
      </x:c>
      <x:c r="L5" s="46" t="str">
        <x:v>Effortless chemistry and bittersweet elegance</x:v>
      </x:c>
      <x:c r="M5" s="46" t="str">
        <x:v>Approved</x:v>
      </x:c>
      <x:c r="N5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6">
      <x:c r="A6" s="46" t="str">
        <x:v>RC-005</x:v>
      </x:c>
      <x:c r="B6" s="46" t="str">
        <x:v>The Philadelphia Story</x:v>
      </x:c>
      <x:c r="C6" s="46" t="n">
        <x:v>1940</x:v>
      </x:c>
      <x:c r="D6" s="46" t="str">
        <x:v>Film</x:v>
      </x:c>
      <x:c r="E6" s="46" t="str">
        <x:v>United States</x:v>
      </x:c>
      <x:c r="F6" s="46" t="str">
        <x:v>English</x:v>
      </x:c>
      <x:c r="G6" s="46" t="str">
        <x:v>Masterpiece</x:v>
      </x:c>
      <x:c r="H6" s="46" t="str">
        <x:v>Romcom</x:v>
      </x:c>
      <x:c r="I6" s="46" t="str">
        <x:v>Classic Choice; Critics' Choice</x:v>
      </x:c>
      <x:c r="J6" s="46" t="str">
        <x:v>Casual 8; Specialist 10; Cinephile 10</x:v>
      </x:c>
      <x:c r="K6" s="46" t="str">
        <x:v>Classic</x:v>
      </x:c>
      <x:c r="L6" s="46" t="str">
        <x:v>Sophisticated remarriage comedy with sparkling dialogue</x:v>
      </x:c>
      <x:c r="M6" s="46" t="str">
        <x:v>Approved</x:v>
      </x:c>
      <x:c r="N6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7">
      <x:c r="A7" s="46" t="str">
        <x:v>RC-006</x:v>
      </x:c>
      <x:c r="B7" s="46" t="str">
        <x:v>The Shop Around the Corner</x:v>
      </x:c>
      <x:c r="C7" s="46" t="n">
        <x:v>1940</x:v>
      </x:c>
      <x:c r="D7" s="46" t="str">
        <x:v>Film</x:v>
      </x:c>
      <x:c r="E7" s="46" t="str">
        <x:v>United States</x:v>
      </x:c>
      <x:c r="F7" s="46" t="str">
        <x:v>English</x:v>
      </x:c>
      <x:c r="G7" s="46" t="str">
        <x:v>Masterpiece</x:v>
      </x:c>
      <x:c r="H7" s="46" t="str">
        <x:v>Romcom</x:v>
      </x:c>
      <x:c r="I7" s="46" t="str">
        <x:v>Classic Choice; Comfort Pick</x:v>
      </x:c>
      <x:c r="J7" s="46" t="str">
        <x:v>Casual 8; Specialist 10; Cinephile 10</x:v>
      </x:c>
      <x:c r="K7" s="46" t="str">
        <x:v>Classic</x:v>
      </x:c>
      <x:c r="L7" s="46" t="str">
        <x:v>The elegant ancestor of You've Got Mail</x:v>
      </x:c>
      <x:c r="M7" s="46" t="str">
        <x:v>Approved</x:v>
      </x:c>
      <x:c r="N7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8">
      <x:c r="A8" s="46" t="str">
        <x:v>RC-007</x:v>
      </x:c>
      <x:c r="B8" s="46" t="str">
        <x:v>His Girl Friday</x:v>
      </x:c>
      <x:c r="C8" s="46" t="n">
        <x:v>1940</x:v>
      </x:c>
      <x:c r="D8" s="46" t="str">
        <x:v>Film</x:v>
      </x:c>
      <x:c r="E8" s="46" t="str">
        <x:v>United States</x:v>
      </x:c>
      <x:c r="F8" s="46" t="str">
        <x:v>English</x:v>
      </x:c>
      <x:c r="G8" s="46" t="str">
        <x:v>Masterpiece</x:v>
      </x:c>
      <x:c r="H8" s="46" t="str">
        <x:v>Romcom</x:v>
      </x:c>
      <x:c r="I8" s="46" t="str">
        <x:v>Classic Choice; Critics' Choice</x:v>
      </x:c>
      <x:c r="J8" s="46" t="str">
        <x:v>Casual 8; Specialist 10; Cinephile 10</x:v>
      </x:c>
      <x:c r="K8" s="46" t="str">
        <x:v>Classic</x:v>
      </x:c>
      <x:c r="L8" s="46" t="str">
        <x:v>Rapid-fire dialogue and romantic rivalry</x:v>
      </x:c>
      <x:c r="M8" s="46" t="str">
        <x:v>Approved</x:v>
      </x:c>
      <x:c r="N8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9">
      <x:c r="A9" s="46" t="str">
        <x:v>RC-008</x:v>
      </x:c>
      <x:c r="B9" s="46" t="str">
        <x:v>Bringing Up Baby</x:v>
      </x:c>
      <x:c r="C9" s="46" t="n">
        <x:v>1938</x:v>
      </x:c>
      <x:c r="D9" s="46" t="str">
        <x:v>Film</x:v>
      </x:c>
      <x:c r="E9" s="46" t="str">
        <x:v>United States</x:v>
      </x:c>
      <x:c r="F9" s="46" t="str">
        <x:v>English</x:v>
      </x:c>
      <x:c r="G9" s="46" t="str">
        <x:v>Masterpiece</x:v>
      </x:c>
      <x:c r="H9" s="46" t="str">
        <x:v>Romcom</x:v>
      </x:c>
      <x:c r="I9" s="46" t="str">
        <x:v>Classic Choice; Curator's Surprise</x:v>
      </x:c>
      <x:c r="J9" s="46" t="str">
        <x:v>Casual 8; Specialist 10; Cinephile 10</x:v>
      </x:c>
      <x:c r="K9" s="46" t="str">
        <x:v>Classic</x:v>
      </x:c>
      <x:c r="L9" s="46" t="str">
        <x:v>Peak screwball chaos powered by chemistry</x:v>
      </x:c>
      <x:c r="M9" s="46" t="str">
        <x:v>Approved</x:v>
      </x:c>
      <x:c r="N9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0">
      <x:c r="A10" s="46" t="str">
        <x:v>RC-009</x:v>
      </x:c>
      <x:c r="B10" s="46" t="str">
        <x:v>The Lady Eve</x:v>
      </x:c>
      <x:c r="C10" s="46" t="n">
        <x:v>1941</x:v>
      </x:c>
      <x:c r="D10" s="46" t="str">
        <x:v>Film</x:v>
      </x:c>
      <x:c r="E10" s="46" t="str">
        <x:v>United States</x:v>
      </x:c>
      <x:c r="F10" s="46" t="str">
        <x:v>English</x:v>
      </x:c>
      <x:c r="G10" s="46" t="str">
        <x:v>Masterpiece</x:v>
      </x:c>
      <x:c r="H10" s="46" t="str">
        <x:v>Romcom</x:v>
      </x:c>
      <x:c r="I10" s="46" t="str">
        <x:v>Classic Choice; Critics' Choice</x:v>
      </x:c>
      <x:c r="J10" s="46" t="str">
        <x:v>Casual 8; Specialist 10; Cinephile 10</x:v>
      </x:c>
      <x:c r="K10" s="46" t="str">
        <x:v>Classic</x:v>
      </x:c>
      <x:c r="L10" s="46" t="str">
        <x:v>Seduction, deception and sophisticated comic rhythm</x:v>
      </x:c>
      <x:c r="M10" s="46" t="str">
        <x:v>Approved</x:v>
      </x:c>
      <x:c r="N10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1">
      <x:c r="A11" s="46" t="str">
        <x:v>RC-010</x:v>
      </x:c>
      <x:c r="B11" s="46" t="str">
        <x:v>Sabrina</x:v>
      </x:c>
      <x:c r="C11" s="46" t="n">
        <x:v>1954</x:v>
      </x:c>
      <x:c r="D11" s="46" t="str">
        <x:v>Film</x:v>
      </x:c>
      <x:c r="E11" s="46" t="str">
        <x:v>United States</x:v>
      </x:c>
      <x:c r="F11" s="46" t="str">
        <x:v>English</x:v>
      </x:c>
      <x:c r="G11" s="46" t="str">
        <x:v>Masterpiece</x:v>
      </x:c>
      <x:c r="H11" s="46" t="str">
        <x:v>Romcom</x:v>
      </x:c>
      <x:c r="I11" s="46" t="str">
        <x:v>Classic Choice; Comfort Pick</x:v>
      </x:c>
      <x:c r="J11" s="46" t="str">
        <x:v>Casual 9; Specialist 9; Cinephile 9</x:v>
      </x:c>
      <x:c r="K11" s="46" t="str">
        <x:v>Classic</x:v>
      </x:c>
      <x:c r="L11" s="46" t="str">
        <x:v>Elegant Cinderella romance with enduring charm</x:v>
      </x:c>
      <x:c r="M11" s="46" t="str">
        <x:v>Approved</x:v>
      </x:c>
      <x:c r="N11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2">
      <x:c r="A12" s="46" t="str">
        <x:v>RC-011</x:v>
      </x:c>
      <x:c r="B12" s="46" t="str">
        <x:v>Moonstruck</x:v>
      </x:c>
      <x:c r="C12" s="46" t="n">
        <x:v>1987</x:v>
      </x:c>
      <x:c r="D12" s="46" t="str">
        <x:v>Film</x:v>
      </x:c>
      <x:c r="E12" s="46" t="str">
        <x:v>United States</x:v>
      </x:c>
      <x:c r="F12" s="46" t="str">
        <x:v>English</x:v>
      </x:c>
      <x:c r="G12" s="46" t="str">
        <x:v>Masterpiece</x:v>
      </x:c>
      <x:c r="H12" s="46" t="str">
        <x:v>Romcom</x:v>
      </x:c>
      <x:c r="I12" s="46" t="str">
        <x:v>Classic Choice; Critics' Choice</x:v>
      </x:c>
      <x:c r="J12" s="46" t="str">
        <x:v>Casual 9; Specialist 10; Cinephile 9</x:v>
      </x:c>
      <x:c r="K12" s="46" t="str">
        <x:v>Modern</x:v>
      </x:c>
      <x:c r="L12" s="46" t="str">
        <x:v>Adult romance, family comedy and operatic emotion</x:v>
      </x:c>
      <x:c r="M12" s="46" t="str">
        <x:v>Approved</x:v>
      </x:c>
      <x:c r="N12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3">
      <x:c r="A13" s="46" t="str">
        <x:v>RC-012</x:v>
      </x:c>
      <x:c r="B13" s="46" t="str">
        <x:v>Notting Hill</x:v>
      </x:c>
      <x:c r="C13" s="46" t="n">
        <x:v>1999</x:v>
      </x:c>
      <x:c r="D13" s="46" t="str">
        <x:v>Film</x:v>
      </x:c>
      <x:c r="E13" s="46" t="str">
        <x:v>United Kingdom</x:v>
      </x:c>
      <x:c r="F13" s="46" t="str">
        <x:v>English</x:v>
      </x:c>
      <x:c r="G13" s="46" t="str">
        <x:v>Masterpiece</x:v>
      </x:c>
      <x:c r="H13" s="46" t="str">
        <x:v>Romcom</x:v>
      </x:c>
      <x:c r="I13" s="46" t="str">
        <x:v>Modern Favorite; Comfort Pick</x:v>
      </x:c>
      <x:c r="J13" s="46" t="str">
        <x:v>Casual 10; Specialist 9; Cinephile 7</x:v>
      </x:c>
      <x:c r="K13" s="46" t="str">
        <x:v>Modern</x:v>
      </x:c>
      <x:c r="L13" s="46" t="str">
        <x:v>A defining modern crowd-pleaser</x:v>
      </x:c>
      <x:c r="M13" s="46" t="str">
        <x:v>Approved</x:v>
      </x:c>
      <x:c r="N13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4">
      <x:c r="A14" s="46" t="str">
        <x:v>RC-013</x:v>
      </x:c>
      <x:c r="B14" s="46" t="str">
        <x:v>Four Weddings and a Funeral</x:v>
      </x:c>
      <x:c r="C14" s="46" t="n">
        <x:v>1994</x:v>
      </x:c>
      <x:c r="D14" s="46" t="str">
        <x:v>Film</x:v>
      </x:c>
      <x:c r="E14" s="46" t="str">
        <x:v>United Kingdom</x:v>
      </x:c>
      <x:c r="F14" s="46" t="str">
        <x:v>English</x:v>
      </x:c>
      <x:c r="G14" s="46" t="str">
        <x:v>Masterpiece</x:v>
      </x:c>
      <x:c r="H14" s="46" t="str">
        <x:v>Romcom</x:v>
      </x:c>
      <x:c r="I14" s="46" t="str">
        <x:v>Modern Favorite; Critics' Choice</x:v>
      </x:c>
      <x:c r="J14" s="46" t="str">
        <x:v>Casual 9; Specialist 10; Cinephile 8</x:v>
      </x:c>
      <x:c r="K14" s="46" t="str">
        <x:v>Modern</x:v>
      </x:c>
      <x:c r="L14" s="46" t="str">
        <x:v>Ensemble warmth, wit and emotional intelligence</x:v>
      </x:c>
      <x:c r="M14" s="46" t="str">
        <x:v>Approved</x:v>
      </x:c>
      <x:c r="N14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5">
      <x:c r="A15" s="46" t="str">
        <x:v>RC-014</x:v>
      </x:c>
      <x:c r="B15" s="46" t="str">
        <x:v>You've Got Mail</x:v>
      </x:c>
      <x:c r="C15" s="46" t="n">
        <x:v>1998</x:v>
      </x:c>
      <x:c r="D15" s="46" t="str">
        <x:v>Film</x:v>
      </x:c>
      <x:c r="E15" s="46" t="str">
        <x:v>United States</x:v>
      </x:c>
      <x:c r="F15" s="46" t="str">
        <x:v>English</x:v>
      </x:c>
      <x:c r="G15" s="46" t="str">
        <x:v>Masterpiece</x:v>
      </x:c>
      <x:c r="H15" s="46" t="str">
        <x:v>Romcom</x:v>
      </x:c>
      <x:c r="I15" s="46" t="str">
        <x:v>Comfort Pick; Modern Favorite</x:v>
      </x:c>
      <x:c r="J15" s="46" t="str">
        <x:v>Casual 10; Specialist 9; Cinephile 7</x:v>
      </x:c>
      <x:c r="K15" s="46" t="str">
        <x:v>Modern</x:v>
      </x:c>
      <x:c r="L15" s="46" t="str">
        <x:v>Digital-age romance with classic structure</x:v>
      </x:c>
      <x:c r="M15" s="46" t="str">
        <x:v>Approved</x:v>
      </x:c>
      <x:c r="N15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6">
      <x:c r="A16" s="46" t="str">
        <x:v>RC-015</x:v>
      </x:c>
      <x:c r="B16" s="46" t="str">
        <x:v>Groundhog Day</x:v>
      </x:c>
      <x:c r="C16" s="46" t="n">
        <x:v>1993</x:v>
      </x:c>
      <x:c r="D16" s="46" t="str">
        <x:v>Film</x:v>
      </x:c>
      <x:c r="E16" s="46" t="str">
        <x:v>United States</x:v>
      </x:c>
      <x:c r="F16" s="46" t="str">
        <x:v>English</x:v>
      </x:c>
      <x:c r="G16" s="46" t="str">
        <x:v>Masterpiece</x:v>
      </x:c>
      <x:c r="H16" s="46" t="str">
        <x:v>Romcom</x:v>
      </x:c>
      <x:c r="I16" s="46" t="str">
        <x:v>Curator's Surprise; Modern Favorite</x:v>
      </x:c>
      <x:c r="J16" s="46" t="str">
        <x:v>Casual 10; Specialist 10; Cinephile 9</x:v>
      </x:c>
      <x:c r="K16" s="46" t="str">
        <x:v>Modern</x:v>
      </x:c>
      <x:c r="L16" s="46" t="str">
        <x:v>High-concept romcom with philosophical depth</x:v>
      </x:c>
      <x:c r="M16" s="46" t="str">
        <x:v>Approved</x:v>
      </x:c>
      <x:c r="N16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7">
      <x:c r="A17" s="46" t="str">
        <x:v>RC-016</x:v>
      </x:c>
      <x:c r="B17" s="46" t="str">
        <x:v>Amélie</x:v>
      </x:c>
      <x:c r="C17" s="46" t="n">
        <x:v>2001</x:v>
      </x:c>
      <x:c r="D17" s="46" t="str">
        <x:v>Film</x:v>
      </x:c>
      <x:c r="E17" s="46" t="str">
        <x:v>France</x:v>
      </x:c>
      <x:c r="F17" s="46" t="str">
        <x:v>French</x:v>
      </x:c>
      <x:c r="G17" s="46" t="str">
        <x:v>Masterpiece</x:v>
      </x:c>
      <x:c r="H17" s="46" t="str">
        <x:v>Romcom</x:v>
      </x:c>
      <x:c r="I17" s="46" t="str">
        <x:v>Passport Pick; Critics' Choice</x:v>
      </x:c>
      <x:c r="J17" s="46" t="str">
        <x:v>Casual 9; Specialist 10; Cinephile 10</x:v>
      </x:c>
      <x:c r="K17" s="46" t="str">
        <x:v>Modern</x:v>
      </x:c>
      <x:c r="L17" s="46" t="str">
        <x:v>Whimsical French romance with unmistakable visual identity</x:v>
      </x:c>
      <x:c r="M17" s="46" t="str">
        <x:v>Approved</x:v>
      </x:c>
      <x:c r="N17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8">
      <x:c r="A18" s="46" t="str">
        <x:v>RC-017</x:v>
      </x:c>
      <x:c r="B18" s="46" t="str">
        <x:v>Dilwale Dulhania Le Jayenge</x:v>
      </x:c>
      <x:c r="C18" s="46" t="n">
        <x:v>1995</x:v>
      </x:c>
      <x:c r="D18" s="46" t="str">
        <x:v>Film</x:v>
      </x:c>
      <x:c r="E18" s="46" t="str">
        <x:v>India</x:v>
      </x:c>
      <x:c r="F18" s="46" t="str">
        <x:v>Hindi</x:v>
      </x:c>
      <x:c r="G18" s="46" t="str">
        <x:v>Masterpiece</x:v>
      </x:c>
      <x:c r="H18" s="46" t="str">
        <x:v>Romcom</x:v>
      </x:c>
      <x:c r="I18" s="46" t="str">
        <x:v>Passport Pick; Classic Choice</x:v>
      </x:c>
      <x:c r="J18" s="46" t="str">
        <x:v>Casual 10; Specialist 10; Cinephile 8</x:v>
      </x:c>
      <x:c r="K18" s="46" t="str">
        <x:v>Modern</x:v>
      </x:c>
      <x:c r="L18" s="46" t="str">
        <x:v>Landmark Indian romance with humor, family and cultural reach</x:v>
      </x:c>
      <x:c r="M18" s="46" t="str">
        <x:v>Approved</x:v>
      </x:c>
      <x:c r="N18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9">
      <x:c r="A19" s="46" t="str">
        <x:v>RC-018</x:v>
      </x:c>
      <x:c r="B19" s="46" t="str">
        <x:v>My Sassy Girl</x:v>
      </x:c>
      <x:c r="C19" s="46" t="n">
        <x:v>2001</x:v>
      </x:c>
      <x:c r="D19" s="46" t="str">
        <x:v>Film</x:v>
      </x:c>
      <x:c r="E19" s="46" t="str">
        <x:v>South Korea</x:v>
      </x:c>
      <x:c r="F19" s="46" t="str">
        <x:v>Korean</x:v>
      </x:c>
      <x:c r="G19" s="46" t="str">
        <x:v>Masterpiece</x:v>
      </x:c>
      <x:c r="H19" s="46" t="str">
        <x:v>Romcom</x:v>
      </x:c>
      <x:c r="I19" s="46" t="str">
        <x:v>Passport Pick; Curator's Surprise</x:v>
      </x:c>
      <x:c r="J19" s="46" t="str">
        <x:v>Casual 9; Specialist 10; Cinephile 8</x:v>
      </x:c>
      <x:c r="K19" s="46" t="str">
        <x:v>Modern</x:v>
      </x:c>
      <x:c r="L19" s="46" t="str">
        <x:v>Influential Korean romcom balancing chaos and tenderness</x:v>
      </x:c>
      <x:c r="M19" s="46" t="str">
        <x:v>Approved</x:v>
      </x:c>
      <x:c r="N19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0">
      <x:c r="A20" s="46" t="str">
        <x:v>RC-019</x:v>
      </x:c>
      <x:c r="B20" s="46" t="str">
        <x:v>The Wedding Banquet</x:v>
      </x:c>
      <x:c r="C20" s="46" t="n">
        <x:v>1993</x:v>
      </x:c>
      <x:c r="D20" s="46" t="str">
        <x:v>Film</x:v>
      </x:c>
      <x:c r="E20" s="46" t="str">
        <x:v>Taiwan</x:v>
      </x:c>
      <x:c r="F20" s="46" t="str">
        <x:v>Mandarin</x:v>
      </x:c>
      <x:c r="G20" s="46" t="str">
        <x:v>Masterpiece</x:v>
      </x:c>
      <x:c r="H20" s="46" t="str">
        <x:v>Romcom</x:v>
      </x:c>
      <x:c r="I20" s="46" t="str">
        <x:v>Passport Pick; Critics' Choice</x:v>
      </x:c>
      <x:c r="J20" s="46" t="str">
        <x:v>Casual 8; Specialist 10; Cinephile 10</x:v>
      </x:c>
      <x:c r="K20" s="46" t="str">
        <x:v>Modern</x:v>
      </x:c>
      <x:c r="L20" s="46" t="str">
        <x:v>Sharp, humane queer family romcom</x:v>
      </x:c>
      <x:c r="M20" s="46" t="str">
        <x:v>Approved</x:v>
      </x:c>
      <x:c r="N20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1">
      <x:c r="A21" s="46" t="str">
        <x:v>RC-020</x:v>
      </x:c>
      <x:c r="B21" s="46" t="str">
        <x:v>Clueless</x:v>
      </x:c>
      <x:c r="C21" s="46" t="n">
        <x:v>1995</x:v>
      </x:c>
      <x:c r="D21" s="46" t="str">
        <x:v>Film</x:v>
      </x:c>
      <x:c r="E21" s="46" t="str">
        <x:v>United States</x:v>
      </x:c>
      <x:c r="F21" s="46" t="str">
        <x:v>English</x:v>
      </x:c>
      <x:c r="G21" s="46" t="str">
        <x:v>Masterpiece</x:v>
      </x:c>
      <x:c r="H21" s="46" t="str">
        <x:v>Romcom</x:v>
      </x:c>
      <x:c r="I21" s="46" t="str">
        <x:v>Modern Favorite; Comfort Pick</x:v>
      </x:c>
      <x:c r="J21" s="46" t="str">
        <x:v>Casual 10; Specialist 9; Cinephile 8</x:v>
      </x:c>
      <x:c r="K21" s="46" t="str">
        <x:v>Modern</x:v>
      </x:c>
      <x:c r="L21" s="46" t="str">
        <x:v>Smart Austen adaptation with iconic comic voice</x:v>
      </x:c>
      <x:c r="M21" s="46" t="str">
        <x:v>Approved</x:v>
      </x:c>
      <x:c r="N21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2">
      <x:c r="A22" s="46" t="str">
        <x:v>RC-021</x:v>
      </x:c>
      <x:c r="B22" s="46" t="str">
        <x:v>Broadcast News</x:v>
      </x:c>
      <x:c r="C22" s="46" t="n">
        <x:v>1987</x:v>
      </x:c>
      <x:c r="D22" s="46" t="str">
        <x:v>Film</x:v>
      </x:c>
      <x:c r="E22" s="46" t="str">
        <x:v>United States</x:v>
      </x:c>
      <x:c r="F22" s="46" t="str">
        <x:v>English</x:v>
      </x:c>
      <x:c r="G22" s="46" t="str">
        <x:v>Masterpiece</x:v>
      </x:c>
      <x:c r="H22" s="46" t="str">
        <x:v>Romcom</x:v>
      </x:c>
      <x:c r="I22" s="46" t="str">
        <x:v>Critics' Choice; Classic Choice</x:v>
      </x:c>
      <x:c r="J22" s="46" t="str">
        <x:v>Casual 8; Specialist 10; Cinephile 10</x:v>
      </x:c>
      <x:c r="K22" s="46" t="str">
        <x:v>Modern</x:v>
      </x:c>
      <x:c r="L22" s="46" t="str">
        <x:v>Adult workplace triangle driven by brilliant writing</x:v>
      </x:c>
      <x:c r="M22" s="46" t="str">
        <x:v>Approved</x:v>
      </x:c>
      <x:c r="N22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3">
      <x:c r="A23" s="46" t="str">
        <x:v>RC-022</x:v>
      </x:c>
      <x:c r="B23" s="46" t="str">
        <x:v>Say Anything...</x:v>
      </x:c>
      <x:c r="C23" s="46" t="n">
        <x:v>1989</x:v>
      </x:c>
      <x:c r="D23" s="46" t="str">
        <x:v>Film</x:v>
      </x:c>
      <x:c r="E23" s="46" t="str">
        <x:v>United States</x:v>
      </x:c>
      <x:c r="F23" s="46" t="str">
        <x:v>English</x:v>
      </x:c>
      <x:c r="G23" s="46" t="str">
        <x:v>Masterpiece</x:v>
      </x:c>
      <x:c r="H23" s="46" t="str">
        <x:v>Romcom</x:v>
      </x:c>
      <x:c r="I23" s="46" t="str">
        <x:v>Classic Choice; Comfort Pick</x:v>
      </x:c>
      <x:c r="J23" s="46" t="str">
        <x:v>Casual 9; Specialist 9; Cinephile 8</x:v>
      </x:c>
      <x:c r="K23" s="46" t="str">
        <x:v>Modern</x:v>
      </x:c>
      <x:c r="L23" s="46" t="str">
        <x:v>Earnest young romance with an iconic emotional center</x:v>
      </x:c>
      <x:c r="M23" s="46" t="str">
        <x:v>Approved</x:v>
      </x:c>
      <x:c r="N23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4">
      <x:c r="A24" s="46" t="str">
        <x:v>RC-023</x:v>
      </x:c>
      <x:c r="B24" s="46" t="str">
        <x:v>The Big Sick</x:v>
      </x:c>
      <x:c r="C24" s="46" t="n">
        <x:v>2017</x:v>
      </x:c>
      <x:c r="D24" s="46" t="str">
        <x:v>Film</x:v>
      </x:c>
      <x:c r="E24" s="46" t="str">
        <x:v>United States</x:v>
      </x:c>
      <x:c r="F24" s="46" t="str">
        <x:v>English</x:v>
      </x:c>
      <x:c r="G24" s="46" t="str">
        <x:v>Masterpiece</x:v>
      </x:c>
      <x:c r="H24" s="46" t="str">
        <x:v>Romcom</x:v>
      </x:c>
      <x:c r="I24" s="46" t="str">
        <x:v>Critics' Choice; Modern Favorite</x:v>
      </x:c>
      <x:c r="J24" s="46" t="str">
        <x:v>Casual 9; Specialist 9; Cinephile 9</x:v>
      </x:c>
      <x:c r="K24" s="46" t="str">
        <x:v>Current</x:v>
      </x:c>
      <x:c r="L24" s="46" t="str">
        <x:v>Personal, funny and culturally specific</x:v>
      </x:c>
      <x:c r="M24" s="46" t="str">
        <x:v>Approved</x:v>
      </x:c>
      <x:c r="N24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5">
      <x:c r="A25" s="46" t="str">
        <x:v>RC-024</x:v>
      </x:c>
      <x:c r="B25" s="46" t="str">
        <x:v>About Time</x:v>
      </x:c>
      <x:c r="C25" s="46" t="n">
        <x:v>2013</x:v>
      </x:c>
      <x:c r="D25" s="46" t="str">
        <x:v>Film</x:v>
      </x:c>
      <x:c r="E25" s="46" t="str">
        <x:v>United Kingdom</x:v>
      </x:c>
      <x:c r="F25" s="46" t="str">
        <x:v>English</x:v>
      </x:c>
      <x:c r="G25" s="46" t="str">
        <x:v>Masterpiece</x:v>
      </x:c>
      <x:c r="H25" s="46" t="str">
        <x:v>Romcom</x:v>
      </x:c>
      <x:c r="I25" s="46" t="str">
        <x:v>Modern Favorite; Curator's Surprise</x:v>
      </x:c>
      <x:c r="J25" s="46" t="str">
        <x:v>Casual 10; Specialist 9; Cinephile 8</x:v>
      </x:c>
      <x:c r="K25" s="46" t="str">
        <x:v>Current</x:v>
      </x:c>
      <x:c r="L25" s="46" t="str">
        <x:v>Romcom framework elevated by family and gratitude</x:v>
      </x:c>
      <x:c r="M25" s="46" t="str">
        <x:v>Approved</x:v>
      </x:c>
      <x:c r="N25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6">
      <x:c r="A26" s="46" t="str">
        <x:v>RC-025</x:v>
      </x:c>
      <x:c r="B26" s="46" t="str">
        <x:v>Palm Springs</x:v>
      </x:c>
      <x:c r="C26" s="46" t="n">
        <x:v>2020</x:v>
      </x:c>
      <x:c r="D26" s="46" t="str">
        <x:v>Film</x:v>
      </x:c>
      <x:c r="E26" s="46" t="str">
        <x:v>United States</x:v>
      </x:c>
      <x:c r="F26" s="46" t="str">
        <x:v>English</x:v>
      </x:c>
      <x:c r="G26" s="46" t="str">
        <x:v>Masterpiece</x:v>
      </x:c>
      <x:c r="H26" s="46" t="str">
        <x:v>Romcom</x:v>
      </x:c>
      <x:c r="I26" s="46" t="str">
        <x:v>Curator's Surprise; Modern Favorite</x:v>
      </x:c>
      <x:c r="J26" s="46" t="str">
        <x:v>Casual 9; Specialist 10; Cinephile 8</x:v>
      </x:c>
      <x:c r="K26" s="46" t="str">
        <x:v>Current</x:v>
      </x:c>
      <x:c r="L26" s="46" t="str">
        <x:v>Time-loop romcom with wit and genuine heart</x:v>
      </x:c>
      <x:c r="M26" s="46" t="str">
        <x:v>Approved</x:v>
      </x:c>
      <x:c r="N26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7">
      <x:c r="A27" s="46" t="str">
        <x:v>RC-026</x:v>
      </x:c>
      <x:c r="B27" s="46" t="str">
        <x:v>The Holiday</x:v>
      </x:c>
      <x:c r="C27" s="46" t="n">
        <x:v>2006</x:v>
      </x:c>
      <x:c r="D27" s="46" t="str">
        <x:v>Film</x:v>
      </x:c>
      <x:c r="E27" s="46" t="str">
        <x:v>United States</x:v>
      </x:c>
      <x:c r="F27" s="46" t="str">
        <x:v>English</x:v>
      </x:c>
      <x:c r="G27" s="46" t="str">
        <x:v>Essential</x:v>
      </x:c>
      <x:c r="H27" s="46" t="str">
        <x:v>Romcom</x:v>
      </x:c>
      <x:c r="I27" s="46" t="str">
        <x:v>Comfort Pick; Modern Favorite</x:v>
      </x:c>
      <x:c r="J27" s="46" t="str">
        <x:v>Casual 10; Specialist 8; Cinephile 6</x:v>
      </x:c>
      <x:c r="K27" s="46" t="str">
        <x:v>Modern</x:v>
      </x:c>
      <x:c r="L27" s="46" t="str">
        <x:v>Peak cozy romcom comfort</x:v>
      </x:c>
      <x:c r="M27" s="46" t="str">
        <x:v>Approved</x:v>
      </x:c>
      <x:c r="N27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8">
      <x:c r="A28" s="46" t="str">
        <x:v>RC-027</x:v>
      </x:c>
      <x:c r="B28" s="46" t="str">
        <x:v>Crazy Rich Asians</x:v>
      </x:c>
      <x:c r="C28" s="46" t="n">
        <x:v>2018</x:v>
      </x:c>
      <x:c r="D28" s="46" t="str">
        <x:v>Film</x:v>
      </x:c>
      <x:c r="E28" s="46" t="str">
        <x:v>United States</x:v>
      </x:c>
      <x:c r="F28" s="46" t="str">
        <x:v>English</x:v>
      </x:c>
      <x:c r="G28" s="46" t="str">
        <x:v>Essential</x:v>
      </x:c>
      <x:c r="H28" s="46" t="str">
        <x:v>Romcom</x:v>
      </x:c>
      <x:c r="I28" s="46" t="str">
        <x:v>Modern Favorite; Passport Pick</x:v>
      </x:c>
      <x:c r="J28" s="46" t="str">
        <x:v>Casual 10; Specialist 8; Cinephile 7</x:v>
      </x:c>
      <x:c r="K28" s="46" t="str">
        <x:v>Current</x:v>
      </x:c>
      <x:c r="L28" s="46" t="str">
        <x:v>Glossy, culturally specific and emotionally satisfying</x:v>
      </x:c>
      <x:c r="M28" s="46" t="str">
        <x:v>Approved</x:v>
      </x:c>
      <x:c r="N28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9">
      <x:c r="A29" s="46" t="str">
        <x:v>RC-028</x:v>
      </x:c>
      <x:c r="B29" s="46" t="str">
        <x:v>Bridget Jones's Diary</x:v>
      </x:c>
      <x:c r="C29" s="46" t="n">
        <x:v>2001</x:v>
      </x:c>
      <x:c r="D29" s="46" t="str">
        <x:v>Film</x:v>
      </x:c>
      <x:c r="E29" s="46" t="str">
        <x:v>United Kingdom</x:v>
      </x:c>
      <x:c r="F29" s="46" t="str">
        <x:v>English</x:v>
      </x:c>
      <x:c r="G29" s="46" t="str">
        <x:v>Essential</x:v>
      </x:c>
      <x:c r="H29" s="46" t="str">
        <x:v>Romcom</x:v>
      </x:c>
      <x:c r="I29" s="46" t="str">
        <x:v>Comfort Pick; Modern Favorite</x:v>
      </x:c>
      <x:c r="J29" s="46" t="str">
        <x:v>Casual 10; Specialist 9; Cinephile 7</x:v>
      </x:c>
      <x:c r="K29" s="46" t="str">
        <x:v>Modern</x:v>
      </x:c>
      <x:c r="L29" s="46" t="str">
        <x:v>Messy heroine, sharp comedy, enduring appeal</x:v>
      </x:c>
      <x:c r="M29" s="46" t="str">
        <x:v>Approved</x:v>
      </x:c>
      <x:c r="N29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30">
      <x:c r="A30" s="46" t="str">
        <x:v>RC-029</x:v>
      </x:c>
      <x:c r="B30" s="46" t="str">
        <x:v>My Big Fat Greek Wedding</x:v>
      </x:c>
      <x:c r="C30" s="46" t="n">
        <x:v>2002</x:v>
      </x:c>
      <x:c r="D30" s="46" t="str">
        <x:v>Film</x:v>
      </x:c>
      <x:c r="E30" s="46" t="str">
        <x:v>United States</x:v>
      </x:c>
      <x:c r="F30" s="46" t="str">
        <x:v>English</x:v>
      </x:c>
      <x:c r="G30" s="46" t="str">
        <x:v>Essential</x:v>
      </x:c>
      <x:c r="H30" s="46" t="str">
        <x:v>Romcom</x:v>
      </x:c>
      <x:c r="I30" s="46" t="str">
        <x:v>Comfort Pick; Passport Pick</x:v>
      </x:c>
      <x:c r="J30" s="46" t="str">
        <x:v>Casual 10; Specialist 8; Cinephile 6</x:v>
      </x:c>
      <x:c r="K30" s="46" t="str">
        <x:v>Modern</x:v>
      </x:c>
      <x:c r="L30" s="46" t="str">
        <x:v>Family comedy and romance in perfect proportion</x:v>
      </x:c>
      <x:c r="M30" s="46" t="str">
        <x:v>Approved</x:v>
      </x:c>
      <x:c r="N30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31">
      <x:c r="A31" s="46" t="str">
        <x:v>RC-030</x:v>
      </x:c>
      <x:c r="B31" s="46" t="str">
        <x:v>10 Things I Hate About You</x:v>
      </x:c>
      <x:c r="C31" s="46" t="n">
        <x:v>1999</x:v>
      </x:c>
      <x:c r="D31" s="46" t="str">
        <x:v>Film</x:v>
      </x:c>
      <x:c r="E31" s="46" t="str">
        <x:v>United States</x:v>
      </x:c>
      <x:c r="F31" s="46" t="str">
        <x:v>English</x:v>
      </x:c>
      <x:c r="G31" s="46" t="str">
        <x:v>Essential</x:v>
      </x:c>
      <x:c r="H31" s="46" t="str">
        <x:v>Romcom</x:v>
      </x:c>
      <x:c r="I31" s="46" t="str">
        <x:v>Modern Favorite; Comfort Pick</x:v>
      </x:c>
      <x:c r="J31" s="46" t="str">
        <x:v>Casual 10; Specialist 9; Cinephile 7</x:v>
      </x:c>
      <x:c r="K31" s="46" t="str">
        <x:v>Modern</x:v>
      </x:c>
      <x:c r="L31" s="46" t="str">
        <x:v>Teen Shakespeare adaptation that still sparkles</x:v>
      </x:c>
      <x:c r="M31" s="46" t="str">
        <x:v>Approved</x:v>
      </x:c>
      <x:c r="N31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32">
      <x:c r="A32" s="46" t="str">
        <x:v>RC-031</x:v>
      </x:c>
      <x:c r="B32" s="46" t="str">
        <x:v>While You Were Sleeping</x:v>
      </x:c>
      <x:c r="C32" s="46" t="n">
        <x:v>1995</x:v>
      </x:c>
      <x:c r="D32" s="46" t="str">
        <x:v>Film</x:v>
      </x:c>
      <x:c r="E32" s="46" t="str">
        <x:v>United States</x:v>
      </x:c>
      <x:c r="F32" s="46" t="str">
        <x:v>English</x:v>
      </x:c>
      <x:c r="G32" s="46" t="str">
        <x:v>Essential</x:v>
      </x:c>
      <x:c r="H32" s="46" t="str">
        <x:v>Romcom</x:v>
      </x:c>
      <x:c r="I32" s="46" t="str">
        <x:v>Comfort Pick; Modern Favorite</x:v>
      </x:c>
      <x:c r="J32" s="46" t="str">
        <x:v>Casual 10; Specialist 9; Cinephile 7</x:v>
      </x:c>
      <x:c r="K32" s="46" t="str">
        <x:v>Modern</x:v>
      </x:c>
      <x:c r="L32" s="46" t="str">
        <x:v>Warm, funny and deeply rewatchable</x:v>
      </x:c>
      <x:c r="M32" s="46" t="str">
        <x:v>Approved</x:v>
      </x:c>
      <x:c r="N32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33">
      <x:c r="A33" s="46" t="str">
        <x:v>RC-032</x:v>
      </x:c>
      <x:c r="B33" s="46" t="str">
        <x:v>Sleepless in Seattle</x:v>
      </x:c>
      <x:c r="C33" s="46" t="n">
        <x:v>1993</x:v>
      </x:c>
      <x:c r="D33" s="46" t="str">
        <x:v>Film</x:v>
      </x:c>
      <x:c r="E33" s="46" t="str">
        <x:v>United States</x:v>
      </x:c>
      <x:c r="F33" s="46" t="str">
        <x:v>English</x:v>
      </x:c>
      <x:c r="G33" s="46" t="str">
        <x:v>Essential</x:v>
      </x:c>
      <x:c r="H33" s="46" t="str">
        <x:v>Romcom</x:v>
      </x:c>
      <x:c r="I33" s="46" t="str">
        <x:v>Modern Favorite; Comfort Pick</x:v>
      </x:c>
      <x:c r="J33" s="46" t="str">
        <x:v>Casual 10; Specialist 8; Cinephile 7</x:v>
      </x:c>
      <x:c r="K33" s="46" t="str">
        <x:v>Modern</x:v>
      </x:c>
      <x:c r="L33" s="46" t="str">
        <x:v>Classic star-crossed structure for the modern era</x:v>
      </x:c>
      <x:c r="M33" s="46" t="str">
        <x:v>Approved</x:v>
      </x:c>
      <x:c r="N33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34">
      <x:c r="A34" s="46" t="str">
        <x:v>RC-033</x:v>
      </x:c>
      <x:c r="B34" s="46" t="str">
        <x:v>Pretty Woman</x:v>
      </x:c>
      <x:c r="C34" s="46" t="n">
        <x:v>1990</x:v>
      </x:c>
      <x:c r="D34" s="46" t="str">
        <x:v>Film</x:v>
      </x:c>
      <x:c r="E34" s="46" t="str">
        <x:v>United States</x:v>
      </x:c>
      <x:c r="F34" s="46" t="str">
        <x:v>English</x:v>
      </x:c>
      <x:c r="G34" s="46" t="str">
        <x:v>Essential</x:v>
      </x:c>
      <x:c r="H34" s="46" t="str">
        <x:v>Romcom</x:v>
      </x:c>
      <x:c r="I34" s="46" t="str">
        <x:v>Modern Favorite; Comfort Pick</x:v>
      </x:c>
      <x:c r="J34" s="46" t="str">
        <x:v>Casual 10; Specialist 8; Cinephile 6</x:v>
      </x:c>
      <x:c r="K34" s="46" t="str">
        <x:v>Modern</x:v>
      </x:c>
      <x:c r="L34" s="46" t="str">
        <x:v>Iconic chemistry and fairy-tale appeal</x:v>
      </x:c>
      <x:c r="M34" s="46" t="str">
        <x:v>Approved</x:v>
      </x:c>
      <x:c r="N34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35">
      <x:c r="A35" s="46" t="str">
        <x:v>RC-034</x:v>
      </x:c>
      <x:c r="B35" s="46" t="str">
        <x:v>The Wedding Singer</x:v>
      </x:c>
      <x:c r="C35" s="46" t="n">
        <x:v>1998</x:v>
      </x:c>
      <x:c r="D35" s="46" t="str">
        <x:v>Film</x:v>
      </x:c>
      <x:c r="E35" s="46" t="str">
        <x:v>United States</x:v>
      </x:c>
      <x:c r="F35" s="46" t="str">
        <x:v>English</x:v>
      </x:c>
      <x:c r="G35" s="46" t="str">
        <x:v>Essential</x:v>
      </x:c>
      <x:c r="H35" s="46" t="str">
        <x:v>Romcom</x:v>
      </x:c>
      <x:c r="I35" s="46" t="str">
        <x:v>Comfort Pick; Modern Favorite</x:v>
      </x:c>
      <x:c r="J35" s="46" t="str">
        <x:v>Casual 10; Specialist 8; Cinephile 6</x:v>
      </x:c>
      <x:c r="K35" s="46" t="str">
        <x:v>Modern</x:v>
      </x:c>
      <x:c r="L35" s="46" t="str">
        <x:v>Sweet, funny and musically nostalgic</x:v>
      </x:c>
      <x:c r="M35" s="46" t="str">
        <x:v>Approved</x:v>
      </x:c>
      <x:c r="N35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36">
      <x:c r="A36" s="46" t="str">
        <x:v>RC-035</x:v>
      </x:c>
      <x:c r="B36" s="46" t="str">
        <x:v>There's Something About Mary</x:v>
      </x:c>
      <x:c r="C36" s="46" t="n">
        <x:v>1998</x:v>
      </x:c>
      <x:c r="D36" s="46" t="str">
        <x:v>Film</x:v>
      </x:c>
      <x:c r="E36" s="46" t="str">
        <x:v>United States</x:v>
      </x:c>
      <x:c r="F36" s="46" t="str">
        <x:v>English</x:v>
      </x:c>
      <x:c r="G36" s="46" t="str">
        <x:v>Essential</x:v>
      </x:c>
      <x:c r="H36" s="46" t="str">
        <x:v>Romcom</x:v>
      </x:c>
      <x:c r="I36" s="46" t="str">
        <x:v>Modern Favorite; Curator's Surprise</x:v>
      </x:c>
      <x:c r="J36" s="46" t="str">
        <x:v>Casual 9; Specialist 9; Cinephile 7</x:v>
      </x:c>
      <x:c r="K36" s="46" t="str">
        <x:v>Modern</x:v>
      </x:c>
      <x:c r="L36" s="46" t="str">
        <x:v>Raunchy mainstream romcom with real comic invention</x:v>
      </x:c>
      <x:c r="M36" s="46" t="str">
        <x:v>Approved</x:v>
      </x:c>
      <x:c r="N36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37">
      <x:c r="A37" s="46" t="str">
        <x:v>RC-036</x:v>
      </x:c>
      <x:c r="B37" s="46" t="str">
        <x:v>Roxanne</x:v>
      </x:c>
      <x:c r="C37" s="46" t="n">
        <x:v>1987</x:v>
      </x:c>
      <x:c r="D37" s="46" t="str">
        <x:v>Film</x:v>
      </x:c>
      <x:c r="E37" s="46" t="str">
        <x:v>United States</x:v>
      </x:c>
      <x:c r="F37" s="46" t="str">
        <x:v>English</x:v>
      </x:c>
      <x:c r="G37" s="46" t="str">
        <x:v>Essential</x:v>
      </x:c>
      <x:c r="H37" s="46" t="str">
        <x:v>Romcom</x:v>
      </x:c>
      <x:c r="I37" s="46" t="str">
        <x:v>Classic Choice; Critics' Choice</x:v>
      </x:c>
      <x:c r="J37" s="46" t="str">
        <x:v>Casual 8; Specialist 9; Cinephile 9</x:v>
      </x:c>
      <x:c r="K37" s="46" t="str">
        <x:v>Modern</x:v>
      </x:c>
      <x:c r="L37" s="46" t="str">
        <x:v>Smart Cyrano adaptation with warmth and wit</x:v>
      </x:c>
      <x:c r="M37" s="46" t="str">
        <x:v>Approved</x:v>
      </x:c>
      <x:c r="N37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38">
      <x:c r="A38" s="46" t="str">
        <x:v>RC-037</x:v>
      </x:c>
      <x:c r="B38" s="46" t="str">
        <x:v>Enough Said</x:v>
      </x:c>
      <x:c r="C38" s="46" t="n">
        <x:v>2013</x:v>
      </x:c>
      <x:c r="D38" s="46" t="str">
        <x:v>Film</x:v>
      </x:c>
      <x:c r="E38" s="46" t="str">
        <x:v>United States</x:v>
      </x:c>
      <x:c r="F38" s="46" t="str">
        <x:v>English</x:v>
      </x:c>
      <x:c r="G38" s="46" t="str">
        <x:v>Essential</x:v>
      </x:c>
      <x:c r="H38" s="46" t="str">
        <x:v>Romcom</x:v>
      </x:c>
      <x:c r="I38" s="46" t="str">
        <x:v>Critics' Choice; Modern Favorite</x:v>
      </x:c>
      <x:c r="J38" s="46" t="str">
        <x:v>Casual 8; Specialist 9; Cinephile 9</x:v>
      </x:c>
      <x:c r="K38" s="46" t="str">
        <x:v>Current</x:v>
      </x:c>
      <x:c r="L38" s="46" t="str">
        <x:v>Adult romance with emotional precision</x:v>
      </x:c>
      <x:c r="M38" s="46" t="str">
        <x:v>Approved</x:v>
      </x:c>
      <x:c r="N38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39">
      <x:c r="A39" s="46" t="str">
        <x:v>RC-038</x:v>
      </x:c>
      <x:c r="B39" s="46" t="str">
        <x:v>Always Be My Maybe</x:v>
      </x:c>
      <x:c r="C39" s="46" t="n">
        <x:v>2019</x:v>
      </x:c>
      <x:c r="D39" s="46" t="str">
        <x:v>Film</x:v>
      </x:c>
      <x:c r="E39" s="46" t="str">
        <x:v>United States</x:v>
      </x:c>
      <x:c r="F39" s="46" t="str">
        <x:v>English</x:v>
      </x:c>
      <x:c r="G39" s="46" t="str">
        <x:v>Essential</x:v>
      </x:c>
      <x:c r="H39" s="46" t="str">
        <x:v>Romcom</x:v>
      </x:c>
      <x:c r="I39" s="46" t="str">
        <x:v>Modern Favorite; Comfort Pick</x:v>
      </x:c>
      <x:c r="J39" s="46" t="str">
        <x:v>Casual 10; Specialist 8; Cinephile 7</x:v>
      </x:c>
      <x:c r="K39" s="46" t="str">
        <x:v>Current</x:v>
      </x:c>
      <x:c r="L39" s="46" t="str">
        <x:v>Fresh chemistry and culturally specific humor</x:v>
      </x:c>
      <x:c r="M39" s="46" t="str">
        <x:v>Approved</x:v>
      </x:c>
      <x:c r="N39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40">
      <x:c r="A40" s="46" t="str">
        <x:v>RC-039</x:v>
      </x:c>
      <x:c r="B40" s="46" t="str">
        <x:v>Plus One</x:v>
      </x:c>
      <x:c r="C40" s="46" t="n">
        <x:v>2019</x:v>
      </x:c>
      <x:c r="D40" s="46" t="str">
        <x:v>Film</x:v>
      </x:c>
      <x:c r="E40" s="46" t="str">
        <x:v>United States</x:v>
      </x:c>
      <x:c r="F40" s="46" t="str">
        <x:v>English</x:v>
      </x:c>
      <x:c r="G40" s="46" t="str">
        <x:v>Essential</x:v>
      </x:c>
      <x:c r="H40" s="46" t="str">
        <x:v>Romcom</x:v>
      </x:c>
      <x:c r="I40" s="46" t="str">
        <x:v>Discovery; Modern Favorite</x:v>
      </x:c>
      <x:c r="J40" s="46" t="str">
        <x:v>Casual 9; Specialist 9; Cinephile 7</x:v>
      </x:c>
      <x:c r="K40" s="46" t="str">
        <x:v>Current</x:v>
      </x:c>
      <x:c r="L40" s="46" t="str">
        <x:v>Excellent friends-to-lovers wedding-season comedy</x:v>
      </x:c>
      <x:c r="M40" s="46" t="str">
        <x:v>Approved</x:v>
      </x:c>
      <x:c r="N40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41">
      <x:c r="A41" s="46" t="str">
        <x:v>RC-040</x:v>
      </x:c>
      <x:c r="B41" s="46" t="str">
        <x:v>Rye Lane</x:v>
      </x:c>
      <x:c r="C41" s="46" t="n">
        <x:v>2023</x:v>
      </x:c>
      <x:c r="D41" s="46" t="str">
        <x:v>Film</x:v>
      </x:c>
      <x:c r="E41" s="46" t="str">
        <x:v>United Kingdom</x:v>
      </x:c>
      <x:c r="F41" s="46" t="str">
        <x:v>English</x:v>
      </x:c>
      <x:c r="G41" s="46" t="str">
        <x:v>Essential</x:v>
      </x:c>
      <x:c r="H41" s="46" t="str">
        <x:v>Romcom</x:v>
      </x:c>
      <x:c r="I41" s="46" t="str">
        <x:v>Critics' Choice; Passport Pick</x:v>
      </x:c>
      <x:c r="J41" s="46" t="str">
        <x:v>Casual 9; Specialist 9; Cinephile 9</x:v>
      </x:c>
      <x:c r="K41" s="46" t="str">
        <x:v>Current</x:v>
      </x:c>
      <x:c r="L41" s="46" t="str">
        <x:v>Inventive visual language and irresistible chemistry</x:v>
      </x:c>
      <x:c r="M41" s="46" t="str">
        <x:v>Approved</x:v>
      </x:c>
      <x:c r="N41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42">
      <x:c r="A42" s="46" t="str">
        <x:v>RC-041</x:v>
      </x:c>
      <x:c r="B42" s="46" t="str">
        <x:v>Set It Up</x:v>
      </x:c>
      <x:c r="C42" s="46" t="n">
        <x:v>2018</x:v>
      </x:c>
      <x:c r="D42" s="46" t="str">
        <x:v>Film</x:v>
      </x:c>
      <x:c r="E42" s="46" t="str">
        <x:v>United States</x:v>
      </x:c>
      <x:c r="F42" s="46" t="str">
        <x:v>English</x:v>
      </x:c>
      <x:c r="G42" s="46" t="str">
        <x:v>Essential</x:v>
      </x:c>
      <x:c r="H42" s="46" t="str">
        <x:v>Romcom</x:v>
      </x:c>
      <x:c r="I42" s="46" t="str">
        <x:v>Modern Favorite; Comfort Pick</x:v>
      </x:c>
      <x:c r="J42" s="46" t="str">
        <x:v>Casual 10; Specialist 8; Cinephile 6</x:v>
      </x:c>
      <x:c r="K42" s="46" t="str">
        <x:v>Current</x:v>
      </x:c>
      <x:c r="L42" s="46" t="str">
        <x:v>Workplace matchmaking done with real charm</x:v>
      </x:c>
      <x:c r="M42" s="46" t="str">
        <x:v>Approved</x:v>
      </x:c>
      <x:c r="N42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43">
      <x:c r="A43" s="46" t="str">
        <x:v>RC-042</x:v>
      </x:c>
      <x:c r="B43" s="46" t="str">
        <x:v>Long Shot</x:v>
      </x:c>
      <x:c r="C43" s="46" t="n">
        <x:v>2019</x:v>
      </x:c>
      <x:c r="D43" s="46" t="str">
        <x:v>Film</x:v>
      </x:c>
      <x:c r="E43" s="46" t="str">
        <x:v>United States</x:v>
      </x:c>
      <x:c r="F43" s="46" t="str">
        <x:v>English</x:v>
      </x:c>
      <x:c r="G43" s="46" t="str">
        <x:v>Essential</x:v>
      </x:c>
      <x:c r="H43" s="46" t="str">
        <x:v>Romcom</x:v>
      </x:c>
      <x:c r="I43" s="46" t="str">
        <x:v>Modern Favorite; Curator's Surprise</x:v>
      </x:c>
      <x:c r="J43" s="46" t="str">
        <x:v>Casual 9; Specialist 9; Cinephile 7</x:v>
      </x:c>
      <x:c r="K43" s="46" t="str">
        <x:v>Current</x:v>
      </x:c>
      <x:c r="L43" s="46" t="str">
        <x:v>Political setting, sharp comedy, convincing chemistry</x:v>
      </x:c>
      <x:c r="M43" s="46" t="str">
        <x:v>Approved</x:v>
      </x:c>
      <x:c r="N43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44">
      <x:c r="A44" s="46" t="str">
        <x:v>RC-043</x:v>
      </x:c>
      <x:c r="B44" s="46" t="str">
        <x:v>Fire Island</x:v>
      </x:c>
      <x:c r="C44" s="46" t="n">
        <x:v>2022</x:v>
      </x:c>
      <x:c r="D44" s="46" t="str">
        <x:v>Film</x:v>
      </x:c>
      <x:c r="E44" s="46" t="str">
        <x:v>United States</x:v>
      </x:c>
      <x:c r="F44" s="46" t="str">
        <x:v>English</x:v>
      </x:c>
      <x:c r="G44" s="46" t="str">
        <x:v>Essential</x:v>
      </x:c>
      <x:c r="H44" s="46" t="str">
        <x:v>Romcom</x:v>
      </x:c>
      <x:c r="I44" s="46" t="str">
        <x:v>Passport Pick; Critics' Choice</x:v>
      </x:c>
      <x:c r="J44" s="46" t="str">
        <x:v>Casual 9; Specialist 9; Cinephile 9</x:v>
      </x:c>
      <x:c r="K44" s="46" t="str">
        <x:v>Current</x:v>
      </x:c>
      <x:c r="L44" s="46" t="str">
        <x:v>Queer Austen adaptation with joy and specificity</x:v>
      </x:c>
      <x:c r="M44" s="46" t="str">
        <x:v>Approved</x:v>
      </x:c>
      <x:c r="N44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45">
      <x:c r="A45" s="46" t="str">
        <x:v>RC-044</x:v>
      </x:c>
      <x:c r="B45" s="46" t="str">
        <x:v>Saving Face</x:v>
      </x:c>
      <x:c r="C45" s="46" t="n">
        <x:v>2004</x:v>
      </x:c>
      <x:c r="D45" s="46" t="str">
        <x:v>Film</x:v>
      </x:c>
      <x:c r="E45" s="46" t="str">
        <x:v>United States</x:v>
      </x:c>
      <x:c r="F45" s="46" t="str">
        <x:v>English</x:v>
      </x:c>
      <x:c r="G45" s="46" t="str">
        <x:v>Essential</x:v>
      </x:c>
      <x:c r="H45" s="46" t="str">
        <x:v>Romcom</x:v>
      </x:c>
      <x:c r="I45" s="46" t="str">
        <x:v>Passport Pick; Critics' Choice</x:v>
      </x:c>
      <x:c r="J45" s="46" t="str">
        <x:v>Casual 8; Specialist 9; Cinephile 9</x:v>
      </x:c>
      <x:c r="K45" s="46" t="str">
        <x:v>Modern</x:v>
      </x:c>
      <x:c r="L45" s="46" t="str">
        <x:v>Warm queer family romcom with cultural richness</x:v>
      </x:c>
      <x:c r="M45" s="46" t="str">
        <x:v>Approved</x:v>
      </x:c>
      <x:c r="N45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46">
      <x:c r="A46" s="46" t="str">
        <x:v>RC-045</x:v>
      </x:c>
      <x:c r="B46" s="46" t="str">
        <x:v>But I'm a Cheerleader</x:v>
      </x:c>
      <x:c r="C46" s="46" t="n">
        <x:v>1999</x:v>
      </x:c>
      <x:c r="D46" s="46" t="str">
        <x:v>Film</x:v>
      </x:c>
      <x:c r="E46" s="46" t="str">
        <x:v>United States</x:v>
      </x:c>
      <x:c r="F46" s="46" t="str">
        <x:v>English</x:v>
      </x:c>
      <x:c r="G46" s="46" t="str">
        <x:v>Essential</x:v>
      </x:c>
      <x:c r="H46" s="46" t="str">
        <x:v>Romcom</x:v>
      </x:c>
      <x:c r="I46" s="46" t="str">
        <x:v>Curator's Surprise; Critics' Choice</x:v>
      </x:c>
      <x:c r="J46" s="46" t="str">
        <x:v>Casual 8; Specialist 9; Cinephile 9</x:v>
      </x:c>
      <x:c r="K46" s="46" t="str">
        <x:v>Modern</x:v>
      </x:c>
      <x:c r="L46" s="46" t="str">
        <x:v>Cult queer satire with genuine romantic sweetness</x:v>
      </x:c>
      <x:c r="M46" s="46" t="str">
        <x:v>Approved</x:v>
      </x:c>
      <x:c r="N46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47">
      <x:c r="A47" s="46" t="str">
        <x:v>RC-046</x:v>
      </x:c>
      <x:c r="B47" s="46" t="str">
        <x:v>Red, White &amp; Royal Blue</x:v>
      </x:c>
      <x:c r="C47" s="46" t="n">
        <x:v>2023</x:v>
      </x:c>
      <x:c r="D47" s="46" t="str">
        <x:v>Film</x:v>
      </x:c>
      <x:c r="E47" s="46" t="str">
        <x:v>United States</x:v>
      </x:c>
      <x:c r="F47" s="46" t="str">
        <x:v>English</x:v>
      </x:c>
      <x:c r="G47" s="46" t="str">
        <x:v>Essential</x:v>
      </x:c>
      <x:c r="H47" s="46" t="str">
        <x:v>Romcom</x:v>
      </x:c>
      <x:c r="I47" s="46" t="str">
        <x:v>Modern Favorite; Comfort Pick</x:v>
      </x:c>
      <x:c r="J47" s="46" t="str">
        <x:v>Casual 10; Specialist 8; Cinephile 6</x:v>
      </x:c>
      <x:c r="K47" s="46" t="str">
        <x:v>Current</x:v>
      </x:c>
      <x:c r="L47" s="46" t="str">
        <x:v>Glossy, romantic and unabashedly crowd-pleasing</x:v>
      </x:c>
      <x:c r="M47" s="46" t="str">
        <x:v>Approved</x:v>
      </x:c>
      <x:c r="N47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48">
      <x:c r="A48" s="46" t="str">
        <x:v>RC-047</x:v>
      </x:c>
      <x:c r="B48" s="46" t="str">
        <x:v>To All the Boys I've Loved Before</x:v>
      </x:c>
      <x:c r="C48" s="46" t="n">
        <x:v>2018</x:v>
      </x:c>
      <x:c r="D48" s="46" t="str">
        <x:v>Film</x:v>
      </x:c>
      <x:c r="E48" s="46" t="str">
        <x:v>United States</x:v>
      </x:c>
      <x:c r="F48" s="46" t="str">
        <x:v>English</x:v>
      </x:c>
      <x:c r="G48" s="46" t="str">
        <x:v>Essential</x:v>
      </x:c>
      <x:c r="H48" s="46" t="str">
        <x:v>Romcom</x:v>
      </x:c>
      <x:c r="I48" s="46" t="str">
        <x:v>Modern Favorite; Comfort Pick</x:v>
      </x:c>
      <x:c r="J48" s="46" t="str">
        <x:v>Casual 10; Specialist 8; Cinephile 6</x:v>
      </x:c>
      <x:c r="K48" s="46" t="str">
        <x:v>Current</x:v>
      </x:c>
      <x:c r="L48" s="46" t="str">
        <x:v>A modern teen-romcom benchmark</x:v>
      </x:c>
      <x:c r="M48" s="46" t="str">
        <x:v>Approved</x:v>
      </x:c>
      <x:c r="N48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49">
      <x:c r="A49" s="46" t="str">
        <x:v>RC-048</x:v>
      </x:c>
      <x:c r="B49" s="46" t="str">
        <x:v>Love at First Sight</x:v>
      </x:c>
      <x:c r="C49" s="46" t="n">
        <x:v>2023</x:v>
      </x:c>
      <x:c r="D49" s="46" t="str">
        <x:v>Film</x:v>
      </x:c>
      <x:c r="E49" s="46" t="str">
        <x:v>United States</x:v>
      </x:c>
      <x:c r="F49" s="46" t="str">
        <x:v>English</x:v>
      </x:c>
      <x:c r="G49" s="46" t="str">
        <x:v>Essential</x:v>
      </x:c>
      <x:c r="H49" s="46" t="str">
        <x:v>Romcom</x:v>
      </x:c>
      <x:c r="I49" s="46" t="str">
        <x:v>Modern Favorite; Comfort Pick</x:v>
      </x:c>
      <x:c r="J49" s="46" t="str">
        <x:v>Casual 9; Specialist 8; Cinephile 6</x:v>
      </x:c>
      <x:c r="K49" s="46" t="str">
        <x:v>Current</x:v>
      </x:c>
      <x:c r="L49" s="46" t="str">
        <x:v>Elegant high-concept meet-cute with warmth</x:v>
      </x:c>
      <x:c r="M49" s="46" t="str">
        <x:v>Approved</x:v>
      </x:c>
      <x:c r="N49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50">
      <x:c r="A50" s="46" t="str">
        <x:v>RC-049</x:v>
      </x:c>
      <x:c r="B50" s="46" t="str">
        <x:v>The Half of It</x:v>
      </x:c>
      <x:c r="C50" s="46" t="n">
        <x:v>2020</x:v>
      </x:c>
      <x:c r="D50" s="46" t="str">
        <x:v>Film</x:v>
      </x:c>
      <x:c r="E50" s="46" t="str">
        <x:v>United States</x:v>
      </x:c>
      <x:c r="F50" s="46" t="str">
        <x:v>English</x:v>
      </x:c>
      <x:c r="G50" s="46" t="str">
        <x:v>Essential</x:v>
      </x:c>
      <x:c r="H50" s="46" t="str">
        <x:v>Romcom</x:v>
      </x:c>
      <x:c r="I50" s="46" t="str">
        <x:v>Critics' Choice; Curator's Surprise</x:v>
      </x:c>
      <x:c r="J50" s="46" t="str">
        <x:v>Casual 8; Specialist 9; Cinephile 9</x:v>
      </x:c>
      <x:c r="K50" s="46" t="str">
        <x:v>Current</x:v>
      </x:c>
      <x:c r="L50" s="46" t="str">
        <x:v>Tender, intelligent Cyrano-inspired coming-of-age romcom</x:v>
      </x:c>
      <x:c r="M50" s="46" t="str">
        <x:v>Approved</x:v>
      </x:c>
      <x:c r="N50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51">
      <x:c r="A51" s="46" t="str">
        <x:v>RC-050</x:v>
      </x:c>
      <x:c r="B51" s="46" t="str">
        <x:v>The Valet</x:v>
      </x:c>
      <x:c r="C51" s="46" t="n">
        <x:v>2006</x:v>
      </x:c>
      <x:c r="D51" s="46" t="str">
        <x:v>Film</x:v>
      </x:c>
      <x:c r="E51" s="46" t="str">
        <x:v>France</x:v>
      </x:c>
      <x:c r="F51" s="46" t="str">
        <x:v>French</x:v>
      </x:c>
      <x:c r="G51" s="46" t="str">
        <x:v>Essential</x:v>
      </x:c>
      <x:c r="H51" s="46" t="str">
        <x:v>Romcom</x:v>
      </x:c>
      <x:c r="I51" s="46" t="str">
        <x:v>Passport Pick; Discovery</x:v>
      </x:c>
      <x:c r="J51" s="46" t="str">
        <x:v>Casual 9; Specialist 9; Cinephile 8</x:v>
      </x:c>
      <x:c r="K51" s="46" t="str">
        <x:v>Modern</x:v>
      </x:c>
      <x:c r="L51" s="46" t="str">
        <x:v>French farce with heart and comic efficiency</x:v>
      </x:c>
      <x:c r="M51" s="46" t="str">
        <x:v>Approved</x:v>
      </x:c>
      <x:c r="N51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52">
      <x:c r="A52" s="46" t="str">
        <x:v>RC-051</x:v>
      </x:c>
      <x:c r="B52" s="46" t="str">
        <x:v>Populaire</x:v>
      </x:c>
      <x:c r="C52" s="46" t="n">
        <x:v>2012</x:v>
      </x:c>
      <x:c r="D52" s="46" t="str">
        <x:v>Film</x:v>
      </x:c>
      <x:c r="E52" s="46" t="str">
        <x:v>France</x:v>
      </x:c>
      <x:c r="F52" s="46" t="str">
        <x:v>French</x:v>
      </x:c>
      <x:c r="G52" s="46" t="str">
        <x:v>Outstanding</x:v>
      </x:c>
      <x:c r="H52" s="46" t="str">
        <x:v>Romcom</x:v>
      </x:c>
      <x:c r="I52" s="46" t="str">
        <x:v>Passport Pick; Discovery</x:v>
      </x:c>
      <x:c r="J52" s="46" t="str">
        <x:v>Casual 8; Specialist 9; Cinephile 8</x:v>
      </x:c>
      <x:c r="K52" s="46" t="str">
        <x:v>Current</x:v>
      </x:c>
      <x:c r="L52" s="46" t="str">
        <x:v>Stylish period workplace romcom</x:v>
      </x:c>
      <x:c r="M52" s="46" t="str">
        <x:v>Approved</x:v>
      </x:c>
      <x:c r="N52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53">
      <x:c r="A53" s="46" t="str">
        <x:v>RC-052</x:v>
      </x:c>
      <x:c r="B53" s="46" t="str">
        <x:v>Heartbreaker</x:v>
      </x:c>
      <x:c r="C53" s="46" t="n">
        <x:v>2010</x:v>
      </x:c>
      <x:c r="D53" s="46" t="str">
        <x:v>Film</x:v>
      </x:c>
      <x:c r="E53" s="46" t="str">
        <x:v>France</x:v>
      </x:c>
      <x:c r="F53" s="46" t="str">
        <x:v>French</x:v>
      </x:c>
      <x:c r="G53" s="46" t="str">
        <x:v>Outstanding</x:v>
      </x:c>
      <x:c r="H53" s="46" t="str">
        <x:v>Romcom</x:v>
      </x:c>
      <x:c r="I53" s="46" t="str">
        <x:v>Passport Pick; Discovery</x:v>
      </x:c>
      <x:c r="J53" s="46" t="str">
        <x:v>Casual 9; Specialist 9; Cinephile 7</x:v>
      </x:c>
      <x:c r="K53" s="46" t="str">
        <x:v>Current</x:v>
      </x:c>
      <x:c r="L53" s="46" t="str">
        <x:v>High-concept French romcom with buoyant pace</x:v>
      </x:c>
      <x:c r="M53" s="46" t="str">
        <x:v>Approved</x:v>
      </x:c>
      <x:c r="N53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54">
      <x:c r="A54" s="46" t="str">
        <x:v>RC-053</x:v>
      </x:c>
      <x:c r="B54" s="46" t="str">
        <x:v>Priceless</x:v>
      </x:c>
      <x:c r="C54" s="46" t="n">
        <x:v>2006</x:v>
      </x:c>
      <x:c r="D54" s="46" t="str">
        <x:v>Film</x:v>
      </x:c>
      <x:c r="E54" s="46" t="str">
        <x:v>France</x:v>
      </x:c>
      <x:c r="F54" s="46" t="str">
        <x:v>French</x:v>
      </x:c>
      <x:c r="G54" s="46" t="str">
        <x:v>Outstanding</x:v>
      </x:c>
      <x:c r="H54" s="46" t="str">
        <x:v>Romcom</x:v>
      </x:c>
      <x:c r="I54" s="46" t="str">
        <x:v>Passport Pick; Luxury Vibes</x:v>
      </x:c>
      <x:c r="J54" s="46" t="str">
        <x:v>Casual 9; Specialist 8; Cinephile 8</x:v>
      </x:c>
      <x:c r="K54" s="46" t="str">
        <x:v>Modern</x:v>
      </x:c>
      <x:c r="L54" s="46" t="str">
        <x:v>Riviera glamour, wit and romantic games</x:v>
      </x:c>
      <x:c r="M54" s="46" t="str">
        <x:v>Approved</x:v>
      </x:c>
      <x:c r="N54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55">
      <x:c r="A55" s="46" t="str">
        <x:v>RC-054</x:v>
      </x:c>
      <x:c r="B55" s="46" t="str">
        <x:v>Romantics Anonymous</x:v>
      </x:c>
      <x:c r="C55" s="46" t="n">
        <x:v>2010</x:v>
      </x:c>
      <x:c r="D55" s="46" t="str">
        <x:v>Film</x:v>
      </x:c>
      <x:c r="E55" s="46" t="str">
        <x:v>France</x:v>
      </x:c>
      <x:c r="F55" s="46" t="str">
        <x:v>French</x:v>
      </x:c>
      <x:c r="G55" s="46" t="str">
        <x:v>Outstanding</x:v>
      </x:c>
      <x:c r="H55" s="46" t="str">
        <x:v>Romcom</x:v>
      </x:c>
      <x:c r="I55" s="46" t="str">
        <x:v>Passport Pick; Discovery</x:v>
      </x:c>
      <x:c r="J55" s="46" t="str">
        <x:v>Casual 8; Specialist 9; Cinephile 8</x:v>
      </x:c>
      <x:c r="K55" s="46" t="str">
        <x:v>Current</x:v>
      </x:c>
      <x:c r="L55" s="46" t="str">
        <x:v>Gentle, eccentric and deeply charming</x:v>
      </x:c>
      <x:c r="M55" s="46" t="str">
        <x:v>Approved</x:v>
      </x:c>
      <x:c r="N55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56">
      <x:c r="A56" s="46" t="str">
        <x:v>RC-055</x:v>
      </x:c>
      <x:c r="B56" s="46" t="str">
        <x:v>The Spanish Apartment</x:v>
      </x:c>
      <x:c r="C56" s="46" t="n">
        <x:v>2002</x:v>
      </x:c>
      <x:c r="D56" s="46" t="str">
        <x:v>Film</x:v>
      </x:c>
      <x:c r="E56" s="46" t="str">
        <x:v>France</x:v>
      </x:c>
      <x:c r="F56" s="46" t="str">
        <x:v>French</x:v>
      </x:c>
      <x:c r="G56" s="46" t="str">
        <x:v>Outstanding</x:v>
      </x:c>
      <x:c r="H56" s="46" t="str">
        <x:v>Romcom</x:v>
      </x:c>
      <x:c r="I56" s="46" t="str">
        <x:v>Passport Pick; Curator's Surprise</x:v>
      </x:c>
      <x:c r="J56" s="46" t="str">
        <x:v>Casual 8; Specialist 8; Cinephile 8</x:v>
      </x:c>
      <x:c r="K56" s="46" t="str">
        <x:v>Modern</x:v>
      </x:c>
      <x:c r="L56" s="46" t="str">
        <x:v>Youthful European ensemble romance and travel energy</x:v>
      </x:c>
      <x:c r="M56" s="46" t="str">
        <x:v>Approved</x:v>
      </x:c>
      <x:c r="N56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57">
      <x:c r="A57" s="46" t="str">
        <x:v>RC-056</x:v>
      </x:c>
      <x:c r="B57" s="46" t="str">
        <x:v>Bread and Tulips</x:v>
      </x:c>
      <x:c r="C57" s="46" t="n">
        <x:v>2000</x:v>
      </x:c>
      <x:c r="D57" s="46" t="str">
        <x:v>Film</x:v>
      </x:c>
      <x:c r="E57" s="46" t="str">
        <x:v>Italy</x:v>
      </x:c>
      <x:c r="F57" s="46" t="str">
        <x:v>Italian</x:v>
      </x:c>
      <x:c r="G57" s="46" t="str">
        <x:v>Outstanding</x:v>
      </x:c>
      <x:c r="H57" s="46" t="str">
        <x:v>Romcom</x:v>
      </x:c>
      <x:c r="I57" s="46" t="str">
        <x:v>Passport Pick; Discovery</x:v>
      </x:c>
      <x:c r="J57" s="46" t="str">
        <x:v>Casual 8; Specialist 9; Cinephile 9</x:v>
      </x:c>
      <x:c r="K57" s="46" t="str">
        <x:v>Modern</x:v>
      </x:c>
      <x:c r="L57" s="46" t="str">
        <x:v>Adult reinvention with warmth and whimsy</x:v>
      </x:c>
      <x:c r="M57" s="46" t="str">
        <x:v>Approved</x:v>
      </x:c>
      <x:c r="N57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58">
      <x:c r="A58" s="46" t="str">
        <x:v>RC-057</x:v>
      </x:c>
      <x:c r="B58" s="46" t="str">
        <x:v>Three Many Weddings</x:v>
      </x:c>
      <x:c r="C58" s="46" t="n">
        <x:v>2013</x:v>
      </x:c>
      <x:c r="D58" s="46" t="str">
        <x:v>Film</x:v>
      </x:c>
      <x:c r="E58" s="46" t="str">
        <x:v>Spain</x:v>
      </x:c>
      <x:c r="F58" s="46" t="str">
        <x:v>Spanish</x:v>
      </x:c>
      <x:c r="G58" s="46" t="str">
        <x:v>Outstanding</x:v>
      </x:c>
      <x:c r="H58" s="46" t="str">
        <x:v>Romcom</x:v>
      </x:c>
      <x:c r="I58" s="46" t="str">
        <x:v>Passport Pick; Discovery</x:v>
      </x:c>
      <x:c r="J58" s="46" t="str">
        <x:v>Casual 9; Specialist 8; Cinephile 7</x:v>
      </x:c>
      <x:c r="K58" s="46" t="str">
        <x:v>Current</x:v>
      </x:c>
      <x:c r="L58" s="46" t="str">
        <x:v>Energetic Spanish wedding comedy</x:v>
      </x:c>
      <x:c r="M58" s="46" t="str">
        <x:v>Approved</x:v>
      </x:c>
      <x:c r="N58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59">
      <x:c r="A59" s="46" t="str">
        <x:v>RC-058</x:v>
      </x:c>
      <x:c r="B59" s="46" t="str">
        <x:v>The Wedding Unplanner</x:v>
      </x:c>
      <x:c r="C59" s="46" t="n">
        <x:v>2020</x:v>
      </x:c>
      <x:c r="D59" s="46" t="str">
        <x:v>Film</x:v>
      </x:c>
      <x:c r="E59" s="46" t="str">
        <x:v>Spain</x:v>
      </x:c>
      <x:c r="F59" s="46" t="str">
        <x:v>Spanish</x:v>
      </x:c>
      <x:c r="G59" s="46" t="str">
        <x:v>Outstanding</x:v>
      </x:c>
      <x:c r="H59" s="46" t="str">
        <x:v>Romcom</x:v>
      </x:c>
      <x:c r="I59" s="46" t="str">
        <x:v>Passport Pick; Discovery</x:v>
      </x:c>
      <x:c r="J59" s="46" t="str">
        <x:v>Casual 9; Specialist 8; Cinephile 7</x:v>
      </x:c>
      <x:c r="K59" s="46" t="str">
        <x:v>Current</x:v>
      </x:c>
      <x:c r="L59" s="46" t="str">
        <x:v>Bright Spanish wedding romcom</x:v>
      </x:c>
      <x:c r="M59" s="46" t="str">
        <x:v>Approved</x:v>
      </x:c>
      <x:c r="N59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60">
      <x:c r="A60" s="46" t="str">
        <x:v>RC-059</x:v>
      </x:c>
      <x:c r="B60" s="46" t="str">
        <x:v>Sidewalls</x:v>
      </x:c>
      <x:c r="C60" s="46" t="n">
        <x:v>2011</x:v>
      </x:c>
      <x:c r="D60" s="46" t="str">
        <x:v>Film</x:v>
      </x:c>
      <x:c r="E60" s="46" t="str">
        <x:v>Argentina</x:v>
      </x:c>
      <x:c r="F60" s="46" t="str">
        <x:v>Spanish</x:v>
      </x:c>
      <x:c r="G60" s="46" t="str">
        <x:v>Outstanding</x:v>
      </x:c>
      <x:c r="H60" s="46" t="str">
        <x:v>Romcom</x:v>
      </x:c>
      <x:c r="I60" s="46" t="str">
        <x:v>Passport Pick; Critics' Choice</x:v>
      </x:c>
      <x:c r="J60" s="46" t="str">
        <x:v>Casual 8; Specialist 9; Cinephile 9</x:v>
      </x:c>
      <x:c r="K60" s="46" t="str">
        <x:v>Current</x:v>
      </x:c>
      <x:c r="L60" s="46" t="str">
        <x:v>Urban loneliness transformed into romantic possibility</x:v>
      </x:c>
      <x:c r="M60" s="46" t="str">
        <x:v>Approved</x:v>
      </x:c>
      <x:c r="N60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61">
      <x:c r="A61" s="46" t="str">
        <x:v>RC-060</x:v>
      </x:c>
      <x:c r="B61" s="46" t="str">
        <x:v>A Boyfriend for My Wife</x:v>
      </x:c>
      <x:c r="C61" s="46" t="n">
        <x:v>2008</x:v>
      </x:c>
      <x:c r="D61" s="46" t="str">
        <x:v>Film</x:v>
      </x:c>
      <x:c r="E61" s="46" t="str">
        <x:v>Argentina</x:v>
      </x:c>
      <x:c r="F61" s="46" t="str">
        <x:v>Spanish</x:v>
      </x:c>
      <x:c r="G61" s="46" t="str">
        <x:v>Outstanding</x:v>
      </x:c>
      <x:c r="H61" s="46" t="str">
        <x:v>Romcom</x:v>
      </x:c>
      <x:c r="I61" s="46" t="str">
        <x:v>Passport Pick; Discovery</x:v>
      </x:c>
      <x:c r="J61" s="46" t="str">
        <x:v>Casual 8; Specialist 9; Cinephile 8</x:v>
      </x:c>
      <x:c r="K61" s="46" t="str">
        <x:v>Modern</x:v>
      </x:c>
      <x:c r="L61" s="46" t="str">
        <x:v>Clever Argentine relationship comedy</x:v>
      </x:c>
      <x:c r="M61" s="46" t="str">
        <x:v>Approved</x:v>
      </x:c>
      <x:c r="N61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62">
      <x:c r="A62" s="46" t="str">
        <x:v>RC-061</x:v>
      </x:c>
      <x:c r="B62" s="46" t="str">
        <x:v>Everybody Loves Somebody</x:v>
      </x:c>
      <x:c r="C62" s="46" t="n">
        <x:v>2017</x:v>
      </x:c>
      <x:c r="D62" s="46" t="str">
        <x:v>Film</x:v>
      </x:c>
      <x:c r="E62" s="46" t="str">
        <x:v>Mexico</x:v>
      </x:c>
      <x:c r="F62" s="46" t="str">
        <x:v>Spanish</x:v>
      </x:c>
      <x:c r="G62" s="46" t="str">
        <x:v>Outstanding</x:v>
      </x:c>
      <x:c r="H62" s="46" t="str">
        <x:v>Romcom</x:v>
      </x:c>
      <x:c r="I62" s="46" t="str">
        <x:v>Passport Pick; Modern Favorite</x:v>
      </x:c>
      <x:c r="J62" s="46" t="str">
        <x:v>Casual 9; Specialist 8; Cinephile 7</x:v>
      </x:c>
      <x:c r="K62" s="46" t="str">
        <x:v>Current</x:v>
      </x:c>
      <x:c r="L62" s="46" t="str">
        <x:v>Mexican-American romcom with adult appeal</x:v>
      </x:c>
      <x:c r="M62" s="46" t="str">
        <x:v>Approved</x:v>
      </x:c>
      <x:c r="N62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63">
      <x:c r="A63" s="46" t="str">
        <x:v>RC-062</x:v>
      </x:c>
      <x:c r="B63" s="46" t="str">
        <x:v>¿Qué culpa tiene el niño?</x:v>
      </x:c>
      <x:c r="C63" s="46" t="n">
        <x:v>2016</x:v>
      </x:c>
      <x:c r="D63" s="46" t="str">
        <x:v>Film</x:v>
      </x:c>
      <x:c r="E63" s="46" t="str">
        <x:v>Mexico</x:v>
      </x:c>
      <x:c r="F63" s="46" t="str">
        <x:v>Spanish</x:v>
      </x:c>
      <x:c r="G63" s="46" t="str">
        <x:v>Outstanding</x:v>
      </x:c>
      <x:c r="H63" s="46" t="str">
        <x:v>Romcom</x:v>
      </x:c>
      <x:c r="I63" s="46" t="str">
        <x:v>Passport Pick; Modern Favorite</x:v>
      </x:c>
      <x:c r="J63" s="46" t="str">
        <x:v>Casual 9; Specialist 8; Cinephile 6</x:v>
      </x:c>
      <x:c r="K63" s="46" t="str">
        <x:v>Current</x:v>
      </x:c>
      <x:c r="L63" s="46" t="str">
        <x:v>Popular Mexican pregnancy romcom</x:v>
      </x:c>
      <x:c r="M63" s="46" t="str">
        <x:v>Approved</x:v>
      </x:c>
      <x:c r="N63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64">
      <x:c r="A64" s="46" t="str">
        <x:v>RC-063</x:v>
      </x:c>
      <x:c r="B64" s="46" t="str">
        <x:v>A la mala</x:v>
      </x:c>
      <x:c r="C64" s="46" t="n">
        <x:v>2015</x:v>
      </x:c>
      <x:c r="D64" s="46" t="str">
        <x:v>Film</x:v>
      </x:c>
      <x:c r="E64" s="46" t="str">
        <x:v>Mexico</x:v>
      </x:c>
      <x:c r="F64" s="46" t="str">
        <x:v>Spanish</x:v>
      </x:c>
      <x:c r="G64" s="46" t="str">
        <x:v>Outstanding</x:v>
      </x:c>
      <x:c r="H64" s="46" t="str">
        <x:v>Romcom</x:v>
      </x:c>
      <x:c r="I64" s="46" t="str">
        <x:v>Passport Pick; Discovery</x:v>
      </x:c>
      <x:c r="J64" s="46" t="str">
        <x:v>Casual 9; Specialist 8; Cinephile 6</x:v>
      </x:c>
      <x:c r="K64" s="46" t="str">
        <x:v>Current</x:v>
      </x:c>
      <x:c r="L64" s="46" t="str">
        <x:v>Mexican enemies-to-lovers setup with strong chemistry</x:v>
      </x:c>
      <x:c r="M64" s="46" t="str">
        <x:v>Approved</x:v>
      </x:c>
      <x:c r="N64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65">
      <x:c r="A65" s="46" t="str">
        <x:v>RC-064</x:v>
      </x:c>
      <x:c r="B65" s="46" t="str">
        <x:v>Ready to Mingle</x:v>
      </x:c>
      <x:c r="C65" s="46" t="n">
        <x:v>2019</x:v>
      </x:c>
      <x:c r="D65" s="46" t="str">
        <x:v>Film</x:v>
      </x:c>
      <x:c r="E65" s="46" t="str">
        <x:v>Mexico</x:v>
      </x:c>
      <x:c r="F65" s="46" t="str">
        <x:v>Spanish</x:v>
      </x:c>
      <x:c r="G65" s="46" t="str">
        <x:v>Outstanding</x:v>
      </x:c>
      <x:c r="H65" s="46" t="str">
        <x:v>Romcom</x:v>
      </x:c>
      <x:c r="I65" s="46" t="str">
        <x:v>Passport Pick; Discovery</x:v>
      </x:c>
      <x:c r="J65" s="46" t="str">
        <x:v>Casual 8; Specialist 8; Cinephile 6</x:v>
      </x:c>
      <x:c r="K65" s="46" t="str">
        <x:v>Current</x:v>
      </x:c>
      <x:c r="L65" s="46" t="str">
        <x:v>Mexican dating comedy with contemporary voice</x:v>
      </x:c>
      <x:c r="M65" s="46" t="str">
        <x:v>Approved</x:v>
      </x:c>
      <x:c r="N65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66">
      <x:c r="A66" s="46" t="str">
        <x:v>RC-065</x:v>
      </x:c>
      <x:c r="B66" s="46" t="str">
        <x:v>Jab We Met</x:v>
      </x:c>
      <x:c r="C66" s="46" t="n">
        <x:v>2007</x:v>
      </x:c>
      <x:c r="D66" s="46" t="str">
        <x:v>Film</x:v>
      </x:c>
      <x:c r="E66" s="46" t="str">
        <x:v>India</x:v>
      </x:c>
      <x:c r="F66" s="46" t="str">
        <x:v>Hindi</x:v>
      </x:c>
      <x:c r="G66" s="46" t="str">
        <x:v>Outstanding</x:v>
      </x:c>
      <x:c r="H66" s="46" t="str">
        <x:v>Romcom</x:v>
      </x:c>
      <x:c r="I66" s="46" t="str">
        <x:v>Passport Pick; Essential</x:v>
      </x:c>
      <x:c r="J66" s="46" t="str">
        <x:v>Casual 10; Specialist 10; Cinephile 8</x:v>
      </x:c>
      <x:c r="K66" s="46" t="str">
        <x:v>Modern</x:v>
      </x:c>
      <x:c r="L66" s="46" t="str">
        <x:v>Beloved Indian romcom driven by unforgettable character energy</x:v>
      </x:c>
      <x:c r="M66" s="46" t="str">
        <x:v>Approved</x:v>
      </x:c>
      <x:c r="N66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67">
      <x:c r="A67" s="46" t="str">
        <x:v>RC-066</x:v>
      </x:c>
      <x:c r="B67" s="46" t="str">
        <x:v>Bareilly Ki Barfi</x:v>
      </x:c>
      <x:c r="C67" s="46" t="n">
        <x:v>2017</x:v>
      </x:c>
      <x:c r="D67" s="46" t="str">
        <x:v>Film</x:v>
      </x:c>
      <x:c r="E67" s="46" t="str">
        <x:v>India</x:v>
      </x:c>
      <x:c r="F67" s="46" t="str">
        <x:v>Hindi</x:v>
      </x:c>
      <x:c r="G67" s="46" t="str">
        <x:v>Outstanding</x:v>
      </x:c>
      <x:c r="H67" s="46" t="str">
        <x:v>Romcom</x:v>
      </x:c>
      <x:c r="I67" s="46" t="str">
        <x:v>Passport Pick; Discovery</x:v>
      </x:c>
      <x:c r="J67" s="46" t="str">
        <x:v>Casual 9; Specialist 9; Cinephile 8</x:v>
      </x:c>
      <x:c r="K67" s="46" t="str">
        <x:v>Current</x:v>
      </x:c>
      <x:c r="L67" s="46" t="str">
        <x:v>Small-town Indian romcom with sharp ensemble comedy</x:v>
      </x:c>
      <x:c r="M67" s="46" t="str">
        <x:v>Approved</x:v>
      </x:c>
      <x:c r="N67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68">
      <x:c r="A68" s="46" t="str">
        <x:v>RC-067</x:v>
      </x:c>
      <x:c r="B68" s="46" t="str">
        <x:v>Band Baaja Baaraat</x:v>
      </x:c>
      <x:c r="C68" s="46" t="n">
        <x:v>2010</x:v>
      </x:c>
      <x:c r="D68" s="46" t="str">
        <x:v>Film</x:v>
      </x:c>
      <x:c r="E68" s="46" t="str">
        <x:v>India</x:v>
      </x:c>
      <x:c r="F68" s="46" t="str">
        <x:v>Hindi</x:v>
      </x:c>
      <x:c r="G68" s="46" t="str">
        <x:v>Outstanding</x:v>
      </x:c>
      <x:c r="H68" s="46" t="str">
        <x:v>Romcom</x:v>
      </x:c>
      <x:c r="I68" s="46" t="str">
        <x:v>Passport Pick; Discovery</x:v>
      </x:c>
      <x:c r="J68" s="46" t="str">
        <x:v>Casual 9; Specialist 9; Cinephile 8</x:v>
      </x:c>
      <x:c r="K68" s="46" t="str">
        <x:v>Current</x:v>
      </x:c>
      <x:c r="L68" s="46" t="str">
        <x:v>Wedding-business romance with strong pace and chemistry</x:v>
      </x:c>
      <x:c r="M68" s="46" t="str">
        <x:v>Approved</x:v>
      </x:c>
      <x:c r="N68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69">
      <x:c r="A69" s="46" t="str">
        <x:v>RC-068</x:v>
      </x:c>
      <x:c r="B69" s="46" t="str">
        <x:v>Hasee Toh Phasee</x:v>
      </x:c>
      <x:c r="C69" s="46" t="n">
        <x:v>2014</x:v>
      </x:c>
      <x:c r="D69" s="46" t="str">
        <x:v>Film</x:v>
      </x:c>
      <x:c r="E69" s="46" t="str">
        <x:v>India</x:v>
      </x:c>
      <x:c r="F69" s="46" t="str">
        <x:v>Hindi</x:v>
      </x:c>
      <x:c r="G69" s="46" t="str">
        <x:v>Outstanding</x:v>
      </x:c>
      <x:c r="H69" s="46" t="str">
        <x:v>Romcom</x:v>
      </x:c>
      <x:c r="I69" s="46" t="str">
        <x:v>Passport Pick; Discovery</x:v>
      </x:c>
      <x:c r="J69" s="46" t="str">
        <x:v>Casual 8; Specialist 9; Cinephile 8</x:v>
      </x:c>
      <x:c r="K69" s="46" t="str">
        <x:v>Current</x:v>
      </x:c>
      <x:c r="L69" s="46" t="str">
        <x:v>Offbeat Indian romcom with unusual leads</x:v>
      </x:c>
      <x:c r="M69" s="46" t="str">
        <x:v>Approved</x:v>
      </x:c>
      <x:c r="N69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70">
      <x:c r="A70" s="46" t="str">
        <x:v>RC-069</x:v>
      </x:c>
      <x:c r="B70" s="46" t="str">
        <x:v>Qarib Qarib Singlle</x:v>
      </x:c>
      <x:c r="C70" s="46" t="n">
        <x:v>2017</x:v>
      </x:c>
      <x:c r="D70" s="46" t="str">
        <x:v>Film</x:v>
      </x:c>
      <x:c r="E70" s="46" t="str">
        <x:v>India</x:v>
      </x:c>
      <x:c r="F70" s="46" t="str">
        <x:v>Hindi</x:v>
      </x:c>
      <x:c r="G70" s="46" t="str">
        <x:v>Outstanding</x:v>
      </x:c>
      <x:c r="H70" s="46" t="str">
        <x:v>Romcom</x:v>
      </x:c>
      <x:c r="I70" s="46" t="str">
        <x:v>Passport Pick; Discovery</x:v>
      </x:c>
      <x:c r="J70" s="46" t="str">
        <x:v>Casual 8; Specialist 9; Cinephile 8</x:v>
      </x:c>
      <x:c r="K70" s="46" t="str">
        <x:v>Current</x:v>
      </x:c>
      <x:c r="L70" s="46" t="str">
        <x:v>Mature Indian travel romcom</x:v>
      </x:c>
      <x:c r="M70" s="46" t="str">
        <x:v>Approved</x:v>
      </x:c>
      <x:c r="N70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71">
      <x:c r="A71" s="46" t="str">
        <x:v>RC-070</x:v>
      </x:c>
      <x:c r="B71" s="46" t="str">
        <x:v>Love Reset</x:v>
      </x:c>
      <x:c r="C71" s="46" t="n">
        <x:v>2023</x:v>
      </x:c>
      <x:c r="D71" s="46" t="str">
        <x:v>Film</x:v>
      </x:c>
      <x:c r="E71" s="46" t="str">
        <x:v>South Korea</x:v>
      </x:c>
      <x:c r="F71" s="46" t="str">
        <x:v>Korean</x:v>
      </x:c>
      <x:c r="G71" s="46" t="str">
        <x:v>Outstanding</x:v>
      </x:c>
      <x:c r="H71" s="46" t="str">
        <x:v>Romcom</x:v>
      </x:c>
      <x:c r="I71" s="46" t="str">
        <x:v>Passport Pick; Discovery</x:v>
      </x:c>
      <x:c r="J71" s="46" t="str">
        <x:v>Casual 9; Specialist 9; Cinephile 7</x:v>
      </x:c>
      <x:c r="K71" s="46" t="str">
        <x:v>Current</x:v>
      </x:c>
      <x:c r="L71" s="46" t="str">
        <x:v>High-energy marriage comedy with strong audience appeal</x:v>
      </x:c>
      <x:c r="M71" s="46" t="str">
        <x:v>Approved</x:v>
      </x:c>
      <x:c r="N71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72">
      <x:c r="A72" s="46" t="str">
        <x:v>RC-071</x:v>
      </x:c>
      <x:c r="B72" s="46" t="str">
        <x:v>On Your Wedding Day</x:v>
      </x:c>
      <x:c r="C72" s="46" t="n">
        <x:v>2018</x:v>
      </x:c>
      <x:c r="D72" s="46" t="str">
        <x:v>Film</x:v>
      </x:c>
      <x:c r="E72" s="46" t="str">
        <x:v>South Korea</x:v>
      </x:c>
      <x:c r="F72" s="46" t="str">
        <x:v>Korean</x:v>
      </x:c>
      <x:c r="G72" s="46" t="str">
        <x:v>Outstanding</x:v>
      </x:c>
      <x:c r="H72" s="46" t="str">
        <x:v>Romcom</x:v>
      </x:c>
      <x:c r="I72" s="46" t="str">
        <x:v>Passport Pick; Discovery</x:v>
      </x:c>
      <x:c r="J72" s="46" t="str">
        <x:v>Casual 8; Specialist 9; Cinephile 8</x:v>
      </x:c>
      <x:c r="K72" s="46" t="str">
        <x:v>Current</x:v>
      </x:c>
      <x:c r="L72" s="46" t="str">
        <x:v>Bittersweet Korean romcom with genuine emotional range</x:v>
      </x:c>
      <x:c r="M72" s="46" t="str">
        <x:v>Approved</x:v>
      </x:c>
      <x:c r="N72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73">
      <x:c r="A73" s="46" t="str">
        <x:v>RC-072</x:v>
      </x:c>
      <x:c r="B73" s="46" t="str">
        <x:v>Spellbound</x:v>
      </x:c>
      <x:c r="C73" s="46" t="n">
        <x:v>2011</x:v>
      </x:c>
      <x:c r="D73" s="46" t="str">
        <x:v>Film</x:v>
      </x:c>
      <x:c r="E73" s="46" t="str">
        <x:v>South Korea</x:v>
      </x:c>
      <x:c r="F73" s="46" t="str">
        <x:v>Korean</x:v>
      </x:c>
      <x:c r="G73" s="46" t="str">
        <x:v>Outstanding</x:v>
      </x:c>
      <x:c r="H73" s="46" t="str">
        <x:v>Romcom</x:v>
      </x:c>
      <x:c r="I73" s="46" t="str">
        <x:v>Passport Pick; Curator's Surprise</x:v>
      </x:c>
      <x:c r="J73" s="46" t="str">
        <x:v>Casual 8; Specialist 9; Cinephile 8</x:v>
      </x:c>
      <x:c r="K73" s="46" t="str">
        <x:v>Current</x:v>
      </x:c>
      <x:c r="L73" s="46" t="str">
        <x:v>Horror-romcom hybrid that still honors the romance</x:v>
      </x:c>
      <x:c r="M73" s="46" t="str">
        <x:v>Approved</x:v>
      </x:c>
      <x:c r="N73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74">
      <x:c r="A74" s="46" t="str">
        <x:v>RC-073</x:v>
      </x:c>
      <x:c r="B74" s="46" t="str">
        <x:v>200 Pounds Beauty</x:v>
      </x:c>
      <x:c r="C74" s="46" t="n">
        <x:v>2006</x:v>
      </x:c>
      <x:c r="D74" s="46" t="str">
        <x:v>Film</x:v>
      </x:c>
      <x:c r="E74" s="46" t="str">
        <x:v>South Korea</x:v>
      </x:c>
      <x:c r="F74" s="46" t="str">
        <x:v>Korean</x:v>
      </x:c>
      <x:c r="G74" s="46" t="str">
        <x:v>Outstanding</x:v>
      </x:c>
      <x:c r="H74" s="46" t="str">
        <x:v>Romcom</x:v>
      </x:c>
      <x:c r="I74" s="46" t="str">
        <x:v>Passport Pick; Discovery</x:v>
      </x:c>
      <x:c r="J74" s="46" t="str">
        <x:v>Casual 9; Specialist 8; Cinephile 6</x:v>
      </x:c>
      <x:c r="K74" s="46" t="str">
        <x:v>Modern</x:v>
      </x:c>
      <x:c r="L74" s="46" t="str">
        <x:v>Popular Korean transformation romcom</x:v>
      </x:c>
      <x:c r="M74" s="46" t="str">
        <x:v>Approved</x:v>
      </x:c>
      <x:c r="N74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75">
      <x:c r="A75" s="46" t="str">
        <x:v>RC-074</x:v>
      </x:c>
      <x:c r="B75" s="46" t="str">
        <x:v>Our Times</x:v>
      </x:c>
      <x:c r="C75" s="46" t="n">
        <x:v>2015</x:v>
      </x:c>
      <x:c r="D75" s="46" t="str">
        <x:v>Film</x:v>
      </x:c>
      <x:c r="E75" s="46" t="str">
        <x:v>Taiwan</x:v>
      </x:c>
      <x:c r="F75" s="46" t="str">
        <x:v>Mandarin</x:v>
      </x:c>
      <x:c r="G75" s="46" t="str">
        <x:v>Outstanding</x:v>
      </x:c>
      <x:c r="H75" s="46" t="str">
        <x:v>Romcom</x:v>
      </x:c>
      <x:c r="I75" s="46" t="str">
        <x:v>Passport Pick; Comfort Pick</x:v>
      </x:c>
      <x:c r="J75" s="46" t="str">
        <x:v>Casual 9; Specialist 9; Cinephile 8</x:v>
      </x:c>
      <x:c r="K75" s="46" t="str">
        <x:v>Current</x:v>
      </x:c>
      <x:c r="L75" s="46" t="str">
        <x:v>Nostalgic Taiwanese coming-of-age romcom</x:v>
      </x:c>
      <x:c r="M75" s="46" t="str">
        <x:v>Approved</x:v>
      </x:c>
      <x:c r="N75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76">
      <x:c r="A76" s="46" t="str">
        <x:v>RC-075</x:v>
      </x:c>
      <x:c r="B76" s="46" t="str">
        <x:v>Hear Me</x:v>
      </x:c>
      <x:c r="C76" s="46" t="n">
        <x:v>2009</x:v>
      </x:c>
      <x:c r="D76" s="46" t="str">
        <x:v>Film</x:v>
      </x:c>
      <x:c r="E76" s="46" t="str">
        <x:v>Taiwan</x:v>
      </x:c>
      <x:c r="F76" s="46" t="str">
        <x:v>Mandarin</x:v>
      </x:c>
      <x:c r="G76" s="46" t="str">
        <x:v>Outstanding</x:v>
      </x:c>
      <x:c r="H76" s="46" t="str">
        <x:v>Romcom</x:v>
      </x:c>
      <x:c r="I76" s="46" t="str">
        <x:v>Passport Pick; Discovery</x:v>
      </x:c>
      <x:c r="J76" s="46" t="str">
        <x:v>Casual 8; Specialist 9; Cinephile 9</x:v>
      </x:c>
      <x:c r="K76" s="46" t="str">
        <x:v>Modern</x:v>
      </x:c>
      <x:c r="L76" s="46" t="str">
        <x:v>Gentle Taiwanese romance with graceful visual storytelling</x:v>
      </x:c>
      <x:c r="M76" s="46" t="str">
        <x:v>Approved</x:v>
      </x:c>
      <x:c r="N76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77">
      <x:c r="A77" s="46" t="str">
        <x:v>RC-076</x:v>
      </x:c>
      <x:c r="B77" s="46" t="str">
        <x:v>You Are the Apple of My Eye</x:v>
      </x:c>
      <x:c r="C77" s="46" t="n">
        <x:v>2011</x:v>
      </x:c>
      <x:c r="D77" s="46" t="str">
        <x:v>Film</x:v>
      </x:c>
      <x:c r="E77" s="46" t="str">
        <x:v>Taiwan</x:v>
      </x:c>
      <x:c r="F77" s="46" t="str">
        <x:v>Mandarin</x:v>
      </x:c>
      <x:c r="G77" s="46" t="str">
        <x:v>Outstanding</x:v>
      </x:c>
      <x:c r="H77" s="46" t="str">
        <x:v>Romcom</x:v>
      </x:c>
      <x:c r="I77" s="46" t="str">
        <x:v>Passport Pick; Discovery</x:v>
      </x:c>
      <x:c r="J77" s="46" t="str">
        <x:v>Casual 9; Specialist 9; Cinephile 8</x:v>
      </x:c>
      <x:c r="K77" s="46" t="str">
        <x:v>Current</x:v>
      </x:c>
      <x:c r="L77" s="46" t="str">
        <x:v>Influential Taiwanese youth romance-comedy</x:v>
      </x:c>
      <x:c r="M77" s="46" t="str">
        <x:v>Approved</x:v>
      </x:c>
      <x:c r="N77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78">
      <x:c r="A78" s="46" t="str">
        <x:v>RC-077</x:v>
      </x:c>
      <x:c r="B78" s="46" t="str">
        <x:v>This Is Not What I Expected</x:v>
      </x:c>
      <x:c r="C78" s="46" t="n">
        <x:v>2017</x:v>
      </x:c>
      <x:c r="D78" s="46" t="str">
        <x:v>Film</x:v>
      </x:c>
      <x:c r="E78" s="46" t="str">
        <x:v>China</x:v>
      </x:c>
      <x:c r="F78" s="46" t="str">
        <x:v>Mandarin</x:v>
      </x:c>
      <x:c r="G78" s="46" t="str">
        <x:v>Outstanding</x:v>
      </x:c>
      <x:c r="H78" s="46" t="str">
        <x:v>Romcom</x:v>
      </x:c>
      <x:c r="I78" s="46" t="str">
        <x:v>Passport Pick; Discovery</x:v>
      </x:c>
      <x:c r="J78" s="46" t="str">
        <x:v>Casual 9; Specialist 8; Cinephile 7</x:v>
      </x:c>
      <x:c r="K78" s="46" t="str">
        <x:v>Current</x:v>
      </x:c>
      <x:c r="L78" s="46" t="str">
        <x:v>Food-forward Chinese workplace romcom</x:v>
      </x:c>
      <x:c r="M78" s="46" t="str">
        <x:v>Approved</x:v>
      </x:c>
      <x:c r="N78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79">
      <x:c r="A79" s="46" t="str">
        <x:v>RC-078</x:v>
      </x:c>
      <x:c r="B79" s="46" t="str">
        <x:v>Finding Mr. Right</x:v>
      </x:c>
      <x:c r="C79" s="46" t="n">
        <x:v>2013</x:v>
      </x:c>
      <x:c r="D79" s="46" t="str">
        <x:v>Film</x:v>
      </x:c>
      <x:c r="E79" s="46" t="str">
        <x:v>China</x:v>
      </x:c>
      <x:c r="F79" s="46" t="str">
        <x:v>Mandarin</x:v>
      </x:c>
      <x:c r="G79" s="46" t="str">
        <x:v>Outstanding</x:v>
      </x:c>
      <x:c r="H79" s="46" t="str">
        <x:v>Romcom</x:v>
      </x:c>
      <x:c r="I79" s="46" t="str">
        <x:v>Passport Pick; Discovery</x:v>
      </x:c>
      <x:c r="J79" s="46" t="str">
        <x:v>Casual 9; Specialist 8; Cinephile 7</x:v>
      </x:c>
      <x:c r="K79" s="46" t="str">
        <x:v>Current</x:v>
      </x:c>
      <x:c r="L79" s="46" t="str">
        <x:v>Cross-cultural Chinese-American romcom</x:v>
      </x:c>
      <x:c r="M79" s="46" t="str">
        <x:v>Approved</x:v>
      </x:c>
      <x:c r="N79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80">
      <x:c r="A80" s="46" t="str">
        <x:v>RC-079</x:v>
      </x:c>
      <x:c r="B80" s="46" t="str">
        <x:v>The Beauty Inside</x:v>
      </x:c>
      <x:c r="C80" s="46" t="n">
        <x:v>2015</x:v>
      </x:c>
      <x:c r="D80" s="46" t="str">
        <x:v>Film</x:v>
      </x:c>
      <x:c r="E80" s="46" t="str">
        <x:v>South Korea</x:v>
      </x:c>
      <x:c r="F80" s="46" t="str">
        <x:v>Korean</x:v>
      </x:c>
      <x:c r="G80" s="46" t="str">
        <x:v>Outstanding</x:v>
      </x:c>
      <x:c r="H80" s="46" t="str">
        <x:v>Romcom</x:v>
      </x:c>
      <x:c r="I80" s="46" t="str">
        <x:v>Passport Pick; Curator's Surprise</x:v>
      </x:c>
      <x:c r="J80" s="46" t="str">
        <x:v>Casual 8; Specialist 9; Cinephile 8</x:v>
      </x:c>
      <x:c r="K80" s="46" t="str">
        <x:v>Current</x:v>
      </x:c>
      <x:c r="L80" s="46" t="str">
        <x:v>High-concept romance with warm comic texture</x:v>
      </x:c>
      <x:c r="M80" s="46" t="str">
        <x:v>Approved</x:v>
      </x:c>
      <x:c r="N80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81">
      <x:c r="A81" s="46" t="str">
        <x:v>RC-080</x:v>
      </x:c>
      <x:c r="B81" s="46" t="str">
        <x:v>The Goodbye Girl</x:v>
      </x:c>
      <x:c r="C81" s="46" t="n">
        <x:v>1977</x:v>
      </x:c>
      <x:c r="D81" s="46" t="str">
        <x:v>Film</x:v>
      </x:c>
      <x:c r="E81" s="46" t="str">
        <x:v>United States</x:v>
      </x:c>
      <x:c r="F81" s="46" t="str">
        <x:v>English</x:v>
      </x:c>
      <x:c r="G81" s="46" t="str">
        <x:v>Essential</x:v>
      </x:c>
      <x:c r="H81" s="46" t="str">
        <x:v>Romcom</x:v>
      </x:c>
      <x:c r="I81" s="46" t="str">
        <x:v>Classic Choice; Critics' Choice</x:v>
      </x:c>
      <x:c r="J81" s="46" t="str">
        <x:v>Casual 8; Specialist 9; Cinephile 9</x:v>
      </x:c>
      <x:c r="K81" s="46" t="str">
        <x:v>Modern</x:v>
      </x:c>
      <x:c r="L81" s="46" t="str">
        <x:v>Adult opposites-attract comedy with sharp writing</x:v>
      </x:c>
      <x:c r="M81" s="46" t="str">
        <x:v>Approved</x:v>
      </x:c>
      <x:c r="N81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82">
      <x:c r="A82" s="46" t="str">
        <x:v>RC-081</x:v>
      </x:c>
      <x:c r="B82" s="46" t="str">
        <x:v>Pillow Talk</x:v>
      </x:c>
      <x:c r="C82" s="46" t="n">
        <x:v>1959</x:v>
      </x:c>
      <x:c r="D82" s="46" t="str">
        <x:v>Film</x:v>
      </x:c>
      <x:c r="E82" s="46" t="str">
        <x:v>United States</x:v>
      </x:c>
      <x:c r="F82" s="46" t="str">
        <x:v>English</x:v>
      </x:c>
      <x:c r="G82" s="46" t="str">
        <x:v>Essential</x:v>
      </x:c>
      <x:c r="H82" s="46" t="str">
        <x:v>Romcom</x:v>
      </x:c>
      <x:c r="I82" s="46" t="str">
        <x:v>Classic Choice; Comfort Pick</x:v>
      </x:c>
      <x:c r="J82" s="46" t="str">
        <x:v>Casual 8; Specialist 9; Cinephile 8</x:v>
      </x:c>
      <x:c r="K82" s="46" t="str">
        <x:v>Classic</x:v>
      </x:c>
      <x:c r="L82" s="46" t="str">
        <x:v>Stylish battle-of-the-sexes classic</x:v>
      </x:c>
      <x:c r="M82" s="46" t="str">
        <x:v>Approved</x:v>
      </x:c>
      <x:c r="N82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83">
      <x:c r="A83" s="46" t="str">
        <x:v>RC-082</x:v>
      </x:c>
      <x:c r="B83" s="46" t="str">
        <x:v>Obvious Child</x:v>
      </x:c>
      <x:c r="C83" s="46" t="n">
        <x:v>2014</x:v>
      </x:c>
      <x:c r="D83" s="46" t="str">
        <x:v>Film</x:v>
      </x:c>
      <x:c r="E83" s="46" t="str">
        <x:v>United States</x:v>
      </x:c>
      <x:c r="F83" s="46" t="str">
        <x:v>English</x:v>
      </x:c>
      <x:c r="G83" s="46" t="str">
        <x:v>Essential</x:v>
      </x:c>
      <x:c r="H83" s="46" t="str">
        <x:v>Romcom</x:v>
      </x:c>
      <x:c r="I83" s="46" t="str">
        <x:v>Critics' Choice; Curator's Surprise</x:v>
      </x:c>
      <x:c r="J83" s="46" t="str">
        <x:v>Casual 8; Specialist 9; Cinephile 9</x:v>
      </x:c>
      <x:c r="K83" s="46" t="str">
        <x:v>Current</x:v>
      </x:c>
      <x:c r="L83" s="46" t="str">
        <x:v>Modern, honest indie romcom with comic voice</x:v>
      </x:c>
      <x:c r="M83" s="46" t="str">
        <x:v>Approved</x:v>
      </x:c>
      <x:c r="N83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84">
      <x:c r="A84" s="46" t="str">
        <x:v>RC-083</x:v>
      </x:c>
      <x:c r="B84" s="46" t="str">
        <x:v>Something's Gotta Give</x:v>
      </x:c>
      <x:c r="C84" s="46" t="n">
        <x:v>2003</x:v>
      </x:c>
      <x:c r="D84" s="46" t="str">
        <x:v>Film</x:v>
      </x:c>
      <x:c r="E84" s="46" t="str">
        <x:v>United States</x:v>
      </x:c>
      <x:c r="F84" s="46" t="str">
        <x:v>English</x:v>
      </x:c>
      <x:c r="G84" s="46" t="str">
        <x:v>Essential</x:v>
      </x:c>
      <x:c r="H84" s="46" t="str">
        <x:v>Romcom</x:v>
      </x:c>
      <x:c r="I84" s="46" t="str">
        <x:v>Modern Favorite; Comfort Pick</x:v>
      </x:c>
      <x:c r="J84" s="46" t="str">
        <x:v>Casual 9; Specialist 9; Cinephile 7</x:v>
      </x:c>
      <x:c r="K84" s="46" t="str">
        <x:v>Modern</x:v>
      </x:c>
      <x:c r="L84" s="46" t="str">
        <x:v>Mature romance with impeccable star chemistry</x:v>
      </x:c>
      <x:c r="M84" s="46" t="str">
        <x:v>Approved</x:v>
      </x:c>
      <x:c r="N84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85">
      <x:c r="A85" s="46" t="str">
        <x:v>RC-084</x:v>
      </x:c>
      <x:c r="B85" s="46" t="str">
        <x:v>Down with Love</x:v>
      </x:c>
      <x:c r="C85" s="46" t="n">
        <x:v>2003</x:v>
      </x:c>
      <x:c r="D85" s="46" t="str">
        <x:v>Film</x:v>
      </x:c>
      <x:c r="E85" s="46" t="str">
        <x:v>United States</x:v>
      </x:c>
      <x:c r="F85" s="46" t="str">
        <x:v>English</x:v>
      </x:c>
      <x:c r="G85" s="46" t="str">
        <x:v>Outstanding</x:v>
      </x:c>
      <x:c r="H85" s="46" t="str">
        <x:v>Romcom</x:v>
      </x:c>
      <x:c r="I85" s="46" t="str">
        <x:v>Curator's Surprise; Critics' Choice</x:v>
      </x:c>
      <x:c r="J85" s="46" t="str">
        <x:v>Casual 8; Specialist 9; Cinephile 9</x:v>
      </x:c>
      <x:c r="K85" s="46" t="str">
        <x:v>Modern</x:v>
      </x:c>
      <x:c r="L85" s="46" t="str">
        <x:v>Stylized homage to 1960s sex comedies</x:v>
      </x:c>
      <x:c r="M85" s="46" t="str">
        <x:v>Approved</x:v>
      </x:c>
      <x:c r="N85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86">
      <x:c r="A86" s="46" t="str">
        <x:v>RC-085</x:v>
      </x:c>
      <x:c r="B86" s="46" t="str">
        <x:v>The Broken Hearts Gallery</x:v>
      </x:c>
      <x:c r="C86" s="46" t="n">
        <x:v>2020</x:v>
      </x:c>
      <x:c r="D86" s="46" t="str">
        <x:v>Film</x:v>
      </x:c>
      <x:c r="E86" s="46" t="str">
        <x:v>United States</x:v>
      </x:c>
      <x:c r="F86" s="46" t="str">
        <x:v>English</x:v>
      </x:c>
      <x:c r="G86" s="46" t="str">
        <x:v>Outstanding</x:v>
      </x:c>
      <x:c r="H86" s="46" t="str">
        <x:v>Romcom</x:v>
      </x:c>
      <x:c r="I86" s="46" t="str">
        <x:v>Discovery; Modern Favorite</x:v>
      </x:c>
      <x:c r="J86" s="46" t="str">
        <x:v>Casual 9; Specialist 8; Cinephile 7</x:v>
      </x:c>
      <x:c r="K86" s="46" t="str">
        <x:v>Current</x:v>
      </x:c>
      <x:c r="L86" s="46" t="str">
        <x:v>Bright contemporary romcom with distinctive premise</x:v>
      </x:c>
      <x:c r="M86" s="46" t="str">
        <x:v>Approved</x:v>
      </x:c>
      <x:c r="N86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87">
      <x:c r="A87" s="46" t="str">
        <x:v>RC-086</x:v>
      </x:c>
      <x:c r="B87" s="46" t="str">
        <x:v>Crash Landing on You</x:v>
      </x:c>
      <x:c r="C87" s="46" t="n">
        <x:v>2019</x:v>
      </x:c>
      <x:c r="D87" s="46" t="str">
        <x:v>Series</x:v>
      </x:c>
      <x:c r="E87" s="46" t="str">
        <x:v>South Korea</x:v>
      </x:c>
      <x:c r="F87" s="46" t="str">
        <x:v>Korean</x:v>
      </x:c>
      <x:c r="G87" s="46" t="str">
        <x:v>Essential</x:v>
      </x:c>
      <x:c r="H87" s="46" t="str">
        <x:v>Romcom</x:v>
      </x:c>
      <x:c r="I87" s="46" t="str">
        <x:v>Passport Pick; Modern Favorite</x:v>
      </x:c>
      <x:c r="J87" s="46" t="str">
        <x:v>Casual 10; Specialist 10; Cinephile 8</x:v>
      </x:c>
      <x:c r="K87" s="46" t="str">
        <x:v>Current</x:v>
      </x:c>
      <x:c r="L87" s="46" t="str">
        <x:v>Global K-romcom phenomenon</x:v>
      </x:c>
      <x:c r="M87" s="46" t="str">
        <x:v>Approved</x:v>
      </x:c>
      <x:c r="N87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88">
      <x:c r="A88" s="46" t="str">
        <x:v>RC-087</x:v>
      </x:c>
      <x:c r="B88" s="46" t="str">
        <x:v>Hometown Cha-Cha-Cha</x:v>
      </x:c>
      <x:c r="C88" s="46" t="n">
        <x:v>2021</x:v>
      </x:c>
      <x:c r="D88" s="46" t="str">
        <x:v>Series</x:v>
      </x:c>
      <x:c r="E88" s="46" t="str">
        <x:v>South Korea</x:v>
      </x:c>
      <x:c r="F88" s="46" t="str">
        <x:v>Korean</x:v>
      </x:c>
      <x:c r="G88" s="46" t="str">
        <x:v>Essential</x:v>
      </x:c>
      <x:c r="H88" s="46" t="str">
        <x:v>Romcom</x:v>
      </x:c>
      <x:c r="I88" s="46" t="str">
        <x:v>Comfort Pick; Passport Pick</x:v>
      </x:c>
      <x:c r="J88" s="46" t="str">
        <x:v>Casual 10; Specialist 9; Cinephile 7</x:v>
      </x:c>
      <x:c r="K88" s="46" t="str">
        <x:v>Current</x:v>
      </x:c>
      <x:c r="L88" s="46" t="str">
        <x:v>Warm seaside community romcom</x:v>
      </x:c>
      <x:c r="M88" s="46" t="str">
        <x:v>Approved</x:v>
      </x:c>
      <x:c r="N88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89">
      <x:c r="A89" s="46" t="str">
        <x:v>RC-088</x:v>
      </x:c>
      <x:c r="B89" s="46" t="str">
        <x:v>Business Proposal</x:v>
      </x:c>
      <x:c r="C89" s="46" t="n">
        <x:v>2022</x:v>
      </x:c>
      <x:c r="D89" s="46" t="str">
        <x:v>Series</x:v>
      </x:c>
      <x:c r="E89" s="46" t="str">
        <x:v>South Korea</x:v>
      </x:c>
      <x:c r="F89" s="46" t="str">
        <x:v>Korean</x:v>
      </x:c>
      <x:c r="G89" s="46" t="str">
        <x:v>Essential</x:v>
      </x:c>
      <x:c r="H89" s="46" t="str">
        <x:v>Romcom</x:v>
      </x:c>
      <x:c r="I89" s="46" t="str">
        <x:v>Modern Favorite; Comfort Pick</x:v>
      </x:c>
      <x:c r="J89" s="46" t="str">
        <x:v>Casual 10; Specialist 9; Cinephile 6</x:v>
      </x:c>
      <x:c r="K89" s="46" t="str">
        <x:v>Current</x:v>
      </x:c>
      <x:c r="L89" s="46" t="str">
        <x:v>Fast, trope-savvy workplace romcom</x:v>
      </x:c>
      <x:c r="M89" s="46" t="str">
        <x:v>Approved</x:v>
      </x:c>
      <x:c r="N89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90">
      <x:c r="A90" s="46" t="str">
        <x:v>RC-089</x:v>
      </x:c>
      <x:c r="B90" s="46" t="str">
        <x:v>Because This Is My First Life</x:v>
      </x:c>
      <x:c r="C90" s="46" t="n">
        <x:v>2017</x:v>
      </x:c>
      <x:c r="D90" s="46" t="str">
        <x:v>Series</x:v>
      </x:c>
      <x:c r="E90" s="46" t="str">
        <x:v>South Korea</x:v>
      </x:c>
      <x:c r="F90" s="46" t="str">
        <x:v>Korean</x:v>
      </x:c>
      <x:c r="G90" s="46" t="str">
        <x:v>Essential</x:v>
      </x:c>
      <x:c r="H90" s="46" t="str">
        <x:v>Romcom</x:v>
      </x:c>
      <x:c r="I90" s="46" t="str">
        <x:v>Critics' Choice; Passport Pick</x:v>
      </x:c>
      <x:c r="J90" s="46" t="str">
        <x:v>Casual 8; Specialist 10; Cinephile 9</x:v>
      </x:c>
      <x:c r="K90" s="46" t="str">
        <x:v>Current</x:v>
      </x:c>
      <x:c r="L90" s="46" t="str">
        <x:v>Thoughtful contract-marriage series</x:v>
      </x:c>
      <x:c r="M90" s="46" t="str">
        <x:v>Approved</x:v>
      </x:c>
      <x:c r="N90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91">
      <x:c r="A91" s="46" t="str">
        <x:v>RC-090</x:v>
      </x:c>
      <x:c r="B91" s="46" t="str">
        <x:v>Love to Hate You</x:v>
      </x:c>
      <x:c r="C91" s="46" t="n">
        <x:v>2023</x:v>
      </x:c>
      <x:c r="D91" s="46" t="str">
        <x:v>Series</x:v>
      </x:c>
      <x:c r="E91" s="46" t="str">
        <x:v>South Korea</x:v>
      </x:c>
      <x:c r="F91" s="46" t="str">
        <x:v>Korean</x:v>
      </x:c>
      <x:c r="G91" s="46" t="str">
        <x:v>Essential</x:v>
      </x:c>
      <x:c r="H91" s="46" t="str">
        <x:v>Romcom</x:v>
      </x:c>
      <x:c r="I91" s="46" t="str">
        <x:v>Modern Favorite; Passport Pick</x:v>
      </x:c>
      <x:c r="J91" s="46" t="str">
        <x:v>Casual 9; Specialist 9; Cinephile 7</x:v>
      </x:c>
      <x:c r="K91" s="46" t="str">
        <x:v>Current</x:v>
      </x:c>
      <x:c r="L91" s="46" t="str">
        <x:v>Compact enemies-to-lovers series</x:v>
      </x:c>
      <x:c r="M91" s="46" t="str">
        <x:v>Approved</x:v>
      </x:c>
      <x:c r="N91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92">
      <x:c r="A92" s="46" t="str">
        <x:v>RC-091</x:v>
      </x:c>
      <x:c r="B92" s="46" t="str">
        <x:v>Coffee Prince</x:v>
      </x:c>
      <x:c r="C92" s="46" t="n">
        <x:v>2007</x:v>
      </x:c>
      <x:c r="D92" s="46" t="str">
        <x:v>Series</x:v>
      </x:c>
      <x:c r="E92" s="46" t="str">
        <x:v>South Korea</x:v>
      </x:c>
      <x:c r="F92" s="46" t="str">
        <x:v>Korean</x:v>
      </x:c>
      <x:c r="G92" s="46" t="str">
        <x:v>Essential</x:v>
      </x:c>
      <x:c r="H92" s="46" t="str">
        <x:v>Romcom</x:v>
      </x:c>
      <x:c r="I92" s="46" t="str">
        <x:v>Classic Choice; Passport Pick</x:v>
      </x:c>
      <x:c r="J92" s="46" t="str">
        <x:v>Casual 9; Specialist 10; Cinephile 8</x:v>
      </x:c>
      <x:c r="K92" s="46" t="str">
        <x:v>Modern</x:v>
      </x:c>
      <x:c r="L92" s="46" t="str">
        <x:v>Influential gender-bending K-romcom</x:v>
      </x:c>
      <x:c r="M92" s="46" t="str">
        <x:v>Approved</x:v>
      </x:c>
      <x:c r="N92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93">
      <x:c r="A93" s="46" t="str">
        <x:v>RC-092</x:v>
      </x:c>
      <x:c r="B93" s="46" t="str">
        <x:v>My Lovely Sam Soon</x:v>
      </x:c>
      <x:c r="C93" s="46" t="n">
        <x:v>2005</x:v>
      </x:c>
      <x:c r="D93" s="46" t="str">
        <x:v>Series</x:v>
      </x:c>
      <x:c r="E93" s="46" t="str">
        <x:v>South Korea</x:v>
      </x:c>
      <x:c r="F93" s="46" t="str">
        <x:v>Korean</x:v>
      </x:c>
      <x:c r="G93" s="46" t="str">
        <x:v>Essential</x:v>
      </x:c>
      <x:c r="H93" s="46" t="str">
        <x:v>Romcom</x:v>
      </x:c>
      <x:c r="I93" s="46" t="str">
        <x:v>Classic Choice; Passport Pick</x:v>
      </x:c>
      <x:c r="J93" s="46" t="str">
        <x:v>Casual 9; Specialist 10; Cinephile 8</x:v>
      </x:c>
      <x:c r="K93" s="46" t="str">
        <x:v>Modern</x:v>
      </x:c>
      <x:c r="L93" s="46" t="str">
        <x:v>Foundational modern K-romcom</x:v>
      </x:c>
      <x:c r="M93" s="46" t="str">
        <x:v>Approved</x:v>
      </x:c>
      <x:c r="N93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94">
      <x:c r="A94" s="46" t="str">
        <x:v>RC-093</x:v>
      </x:c>
      <x:c r="B94" s="46" t="str">
        <x:v>Weightlifting Fairy Kim Bok-joo</x:v>
      </x:c>
      <x:c r="C94" s="46" t="n">
        <x:v>2016</x:v>
      </x:c>
      <x:c r="D94" s="46" t="str">
        <x:v>Series</x:v>
      </x:c>
      <x:c r="E94" s="46" t="str">
        <x:v>South Korea</x:v>
      </x:c>
      <x:c r="F94" s="46" t="str">
        <x:v>Korean</x:v>
      </x:c>
      <x:c r="G94" s="46" t="str">
        <x:v>Essential</x:v>
      </x:c>
      <x:c r="H94" s="46" t="str">
        <x:v>Romcom</x:v>
      </x:c>
      <x:c r="I94" s="46" t="str">
        <x:v>Comfort Pick; Passport Pick</x:v>
      </x:c>
      <x:c r="J94" s="46" t="str">
        <x:v>Casual 10; Specialist 9; Cinephile 7</x:v>
      </x:c>
      <x:c r="K94" s="46" t="str">
        <x:v>Current</x:v>
      </x:c>
      <x:c r="L94" s="46" t="str">
        <x:v>Warm coming-of-age sports romcom</x:v>
      </x:c>
      <x:c r="M94" s="46" t="str">
        <x:v>Approved</x:v>
      </x:c>
      <x:c r="N94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95">
      <x:c r="A95" s="46" t="str">
        <x:v>RC-094</x:v>
      </x:c>
      <x:c r="B95" s="46" t="str">
        <x:v>What's Wrong with Secretary Kim</x:v>
      </x:c>
      <x:c r="C95" s="46" t="n">
        <x:v>2018</x:v>
      </x:c>
      <x:c r="D95" s="46" t="str">
        <x:v>Series</x:v>
      </x:c>
      <x:c r="E95" s="46" t="str">
        <x:v>South Korea</x:v>
      </x:c>
      <x:c r="F95" s="46" t="str">
        <x:v>Korean</x:v>
      </x:c>
      <x:c r="G95" s="46" t="str">
        <x:v>Essential</x:v>
      </x:c>
      <x:c r="H95" s="46" t="str">
        <x:v>Romcom</x:v>
      </x:c>
      <x:c r="I95" s="46" t="str">
        <x:v>Modern Favorite; Passport Pick</x:v>
      </x:c>
      <x:c r="J95" s="46" t="str">
        <x:v>Casual 10; Specialist 9; Cinephile 6</x:v>
      </x:c>
      <x:c r="K95" s="46" t="str">
        <x:v>Current</x:v>
      </x:c>
      <x:c r="L95" s="46" t="str">
        <x:v>Polished workplace K-romcom</x:v>
      </x:c>
      <x:c r="M95" s="46" t="str">
        <x:v>Approved</x:v>
      </x:c>
      <x:c r="N95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96">
      <x:c r="A96" s="46" t="str">
        <x:v>RC-095</x:v>
      </x:c>
      <x:c r="B96" s="46" t="str">
        <x:v>Her Private Life</x:v>
      </x:c>
      <x:c r="C96" s="46" t="n">
        <x:v>2019</x:v>
      </x:c>
      <x:c r="D96" s="46" t="str">
        <x:v>Series</x:v>
      </x:c>
      <x:c r="E96" s="46" t="str">
        <x:v>South Korea</x:v>
      </x:c>
      <x:c r="F96" s="46" t="str">
        <x:v>Korean</x:v>
      </x:c>
      <x:c r="G96" s="46" t="str">
        <x:v>Outstanding</x:v>
      </x:c>
      <x:c r="H96" s="46" t="str">
        <x:v>Romcom</x:v>
      </x:c>
      <x:c r="I96" s="46" t="str">
        <x:v>Passport Pick; Discovery</x:v>
      </x:c>
      <x:c r="J96" s="46" t="str">
        <x:v>Casual 9; Specialist 9; Cinephile 7</x:v>
      </x:c>
      <x:c r="K96" s="46" t="str">
        <x:v>Current</x:v>
      </x:c>
      <x:c r="L96" s="46" t="str">
        <x:v>Adult workplace romcom with fandom culture</x:v>
      </x:c>
      <x:c r="M96" s="46" t="str">
        <x:v>Approved</x:v>
      </x:c>
      <x:c r="N96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97">
      <x:c r="A97" s="46" t="str">
        <x:v>RC-096</x:v>
      </x:c>
      <x:c r="B97" s="46" t="str">
        <x:v>Romance Is a Bonus Book</x:v>
      </x:c>
      <x:c r="C97" s="46" t="n">
        <x:v>2019</x:v>
      </x:c>
      <x:c r="D97" s="46" t="str">
        <x:v>Series</x:v>
      </x:c>
      <x:c r="E97" s="46" t="str">
        <x:v>South Korea</x:v>
      </x:c>
      <x:c r="F97" s="46" t="str">
        <x:v>Korean</x:v>
      </x:c>
      <x:c r="G97" s="46" t="str">
        <x:v>Outstanding</x:v>
      </x:c>
      <x:c r="H97" s="46" t="str">
        <x:v>Romcom</x:v>
      </x:c>
      <x:c r="I97" s="46" t="str">
        <x:v>Comfort Pick; Passport Pick</x:v>
      </x:c>
      <x:c r="J97" s="46" t="str">
        <x:v>Casual 9; Specialist 9; Cinephile 7</x:v>
      </x:c>
      <x:c r="K97" s="46" t="str">
        <x:v>Current</x:v>
      </x:c>
      <x:c r="L97" s="46" t="str">
        <x:v>Book-publishing friends-to-lovers series</x:v>
      </x:c>
      <x:c r="M97" s="46" t="str">
        <x:v>Approved</x:v>
      </x:c>
      <x:c r="N97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98">
      <x:c r="A98" s="46" t="str">
        <x:v>RC-097</x:v>
      </x:c>
      <x:c r="B98" s="46" t="str">
        <x:v>King the Land</x:v>
      </x:c>
      <x:c r="C98" s="46" t="n">
        <x:v>2023</x:v>
      </x:c>
      <x:c r="D98" s="46" t="str">
        <x:v>Series</x:v>
      </x:c>
      <x:c r="E98" s="46" t="str">
        <x:v>South Korea</x:v>
      </x:c>
      <x:c r="F98" s="46" t="str">
        <x:v>Korean</x:v>
      </x:c>
      <x:c r="G98" s="46" t="str">
        <x:v>Outstanding</x:v>
      </x:c>
      <x:c r="H98" s="46" t="str">
        <x:v>Romcom</x:v>
      </x:c>
      <x:c r="I98" s="46" t="str">
        <x:v>Modern Favorite; Passport Pick</x:v>
      </x:c>
      <x:c r="J98" s="46" t="str">
        <x:v>Casual 10; Specialist 8; Cinephile 5</x:v>
      </x:c>
      <x:c r="K98" s="46" t="str">
        <x:v>Current</x:v>
      </x:c>
      <x:c r="L98" s="46" t="str">
        <x:v>Glossy hotel workplace romance</x:v>
      </x:c>
      <x:c r="M98" s="46" t="str">
        <x:v>Approved</x:v>
      </x:c>
      <x:c r="N98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99">
      <x:c r="A99" s="46" t="str">
        <x:v>RC-098</x:v>
      </x:c>
      <x:c r="B99" s="46" t="str">
        <x:v>Starstruck</x:v>
      </x:c>
      <x:c r="C99" s="46" t="n">
        <x:v>2021</x:v>
      </x:c>
      <x:c r="D99" s="46" t="str">
        <x:v>Series</x:v>
      </x:c>
      <x:c r="E99" s="46" t="str">
        <x:v>United Kingdom</x:v>
      </x:c>
      <x:c r="F99" s="46" t="str">
        <x:v>English</x:v>
      </x:c>
      <x:c r="G99" s="46" t="str">
        <x:v>Outstanding</x:v>
      </x:c>
      <x:c r="H99" s="46" t="str">
        <x:v>Romcom</x:v>
      </x:c>
      <x:c r="I99" s="46" t="str">
        <x:v>Discovery; Critics' Choice</x:v>
      </x:c>
      <x:c r="J99" s="46" t="str">
        <x:v>Casual 8; Specialist 9; Cinephile 9</x:v>
      </x:c>
      <x:c r="K99" s="46" t="str">
        <x:v>Current</x:v>
      </x:c>
      <x:c r="L99" s="46" t="str">
        <x:v>Smart British celebrity romcom</x:v>
      </x:c>
      <x:c r="M99" s="46" t="str">
        <x:v>Approved</x:v>
      </x:c>
      <x:c r="N99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00">
      <x:c r="A100" s="46" t="str">
        <x:v>RC-099</x:v>
      </x:c>
      <x:c r="B100" s="46" t="str">
        <x:v>Lovesick</x:v>
      </x:c>
      <x:c r="C100" s="46" t="n">
        <x:v>2014</x:v>
      </x:c>
      <x:c r="D100" s="46" t="str">
        <x:v>Series</x:v>
      </x:c>
      <x:c r="E100" s="46" t="str">
        <x:v>United Kingdom</x:v>
      </x:c>
      <x:c r="F100" s="46" t="str">
        <x:v>English</x:v>
      </x:c>
      <x:c r="G100" s="46" t="str">
        <x:v>Essential</x:v>
      </x:c>
      <x:c r="H100" s="46" t="str">
        <x:v>Romcom</x:v>
      </x:c>
      <x:c r="I100" s="46" t="str">
        <x:v>Critics' Choice; Discovery</x:v>
      </x:c>
      <x:c r="J100" s="46" t="str">
        <x:v>Casual 9; Specialist 9; Cinephile 9</x:v>
      </x:c>
      <x:c r="K100" s="46" t="str">
        <x:v>Current</x:v>
      </x:c>
      <x:c r="L100" s="46" t="str">
        <x:v>Warm, funny ensemble romcom with excellent structure</x:v>
      </x:c>
      <x:c r="M100" s="46" t="str">
        <x:v>Approved</x:v>
      </x:c>
      <x:c r="N100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01">
      <x:c r="A101" s="46" t="str">
        <x:v>RC-100</x:v>
      </x:c>
      <x:c r="B101" s="46" t="str">
        <x:v>Nobody Wants This</x:v>
      </x:c>
      <x:c r="C101" s="46" t="n">
        <x:v>2024</x:v>
      </x:c>
      <x:c r="D101" s="46" t="str">
        <x:v>Series</x:v>
      </x:c>
      <x:c r="E101" s="46" t="str">
        <x:v>United States</x:v>
      </x:c>
      <x:c r="F101" s="46" t="str">
        <x:v>English</x:v>
      </x:c>
      <x:c r="G101" s="46" t="str">
        <x:v>Essential</x:v>
      </x:c>
      <x:c r="H101" s="46" t="str">
        <x:v>Romcom</x:v>
      </x:c>
      <x:c r="I101" s="46" t="str">
        <x:v>Modern Favorite; Critics' Choice</x:v>
      </x:c>
      <x:c r="J101" s="46" t="str">
        <x:v>Casual 10; Specialist 9; Cinephile 8</x:v>
      </x:c>
      <x:c r="K101" s="46" t="str">
        <x:v>Current</x:v>
      </x:c>
      <x:c r="L101" s="46" t="str">
        <x:v>Sharp adult series with strong chemistry</x:v>
      </x:c>
      <x:c r="M101" s="46" t="str">
        <x:v>Approved</x:v>
      </x:c>
      <x:c r="N101" s="46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</x:sheetData>
  <x:conditionalFormatting sqref="G2:G101">
    <x:cfRule type="expression" dxfId="0" priority="1">
      <x:formula>G2="Masterpiece"</x:formula>
    </x:cfRule>
    <x:cfRule type="expression" dxfId="1" priority="2">
      <x:formula>G2="Essential"</x:formula>
    </x:cfRule>
    <x:cfRule type="expression" dxfId="2" priority="3">
      <x:formula>G2="Outstanding"</x:formula>
    </x:cfRule>
  </x:conditionalFormatting>
  <x:conditionalFormatting sqref="A2:N101">
    <x:cfRule type="expression" dxfId="6" priority="4">
      <x:formula>MOD(ROW(),2)=0</x:formula>
    </x:cfRule>
  </x:conditionalFormatting>
  <x:dataValidations count="3">
    <x:dataValidation type="list" sqref="G2:G200">
      <x:formula1>Lists!$B$2:$B$4</x:formula1>
    </x:dataValidation>
    <x:dataValidation type="list" sqref="D2:D200">
      <x:formula1>Lists!$C$2:$C$3</x:formula1>
    </x:dataValidation>
    <x:dataValidation type="list" sqref="K2:K200">
      <x:formula1>Lists!$D$2:$D$4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61dcf94e0e440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8" hidden="0" customWidth="1"/>
    <x:col min="4" max="4" width="10" hidden="0" customWidth="1"/>
    <x:col min="5" max="5" width="16" hidden="0" customWidth="1"/>
    <x:col min="6" max="6" width="13" hidden="0" customWidth="1"/>
    <x:col min="7" max="7" width="14" hidden="0" customWidth="1"/>
    <x:col min="8" max="8" width="28" hidden="0" customWidth="1"/>
    <x:col min="9" max="9" width="30" hidden="0" customWidth="1"/>
    <x:col min="10" max="10" width="22" hidden="0" customWidth="1"/>
    <x:col min="11" max="11" width="44" hidden="0" customWidth="1"/>
    <x:col min="12" max="12" width="48" hidden="0" customWidth="1"/>
    <x:col min="13" max="13" width="48" hidden="0" customWidth="1"/>
    <x:col min="14" max="14" width="13" hidden="0" customWidth="1"/>
  </x:cols>
  <x:sheetData>
    <x:row r="1">
      <x:c r="A1" s="43" t="str">
        <x:v>Arrival ID</x:v>
      </x:c>
      <x:c r="B1" s="43" t="str">
        <x:v>Title</x:v>
      </x:c>
      <x:c r="C1" s="43" t="str">
        <x:v>Year</x:v>
      </x:c>
      <x:c r="D1" s="43" t="str">
        <x:v>Type</x:v>
      </x:c>
      <x:c r="E1" s="43" t="str">
        <x:v>Country</x:v>
      </x:c>
      <x:c r="F1" s="43" t="str">
        <x:v>Language</x:v>
      </x:c>
      <x:c r="G1" s="43" t="str">
        <x:v>Editorial Status</x:v>
      </x:c>
      <x:c r="H1" s="43" t="str">
        <x:v>Tropes / Positioning</x:v>
      </x:c>
      <x:c r="I1" s="43" t="str">
        <x:v>Market Evidence</x:v>
      </x:c>
      <x:c r="J1" s="43" t="str">
        <x:v>TMDB Gate</x:v>
      </x:c>
      <x:c r="K1" s="43" t="str">
        <x:v>My Ciné Editorial Note</x:v>
      </x:c>
      <x:c r="L1" s="43" t="str">
        <x:v>Primary Source</x:v>
      </x:c>
      <x:c r="M1" s="43" t="str">
        <x:v>Secondary Source</x:v>
      </x:c>
      <x:c r="N1" s="43" t="str">
        <x:v>Last Reviewed</x:v>
      </x:c>
    </x:row>
    <x:row r="2">
      <x:c r="A2" s="46" t="str">
        <x:v>NEW-001</x:v>
      </x:c>
      <x:c r="B2" s="46" t="str">
        <x:v>Office Romance</x:v>
      </x:c>
      <x:c r="C2" s="46" t="n">
        <x:v>2026</x:v>
      </x:c>
      <x:c r="D2" s="46" t="str">
        <x:v>Film</x:v>
      </x:c>
      <x:c r="E2" s="46" t="str">
        <x:v>United States</x:v>
      </x:c>
      <x:c r="F2" s="46" t="str">
        <x:v>English</x:v>
      </x:c>
      <x:c r="G2" s="46" t="str">
        <x:v>Candidate</x:v>
      </x:c>
      <x:c r="H2" s="46" t="str">
        <x:v>Workplace; Mature leads; Celebrity cast</x:v>
      </x:c>
      <x:c r="I2" s="46" t="str">
        <x:v>58M views in Netflix H1 2026</x:v>
      </x:c>
      <x:c r="J2" s="46" t="str">
        <x:v>Pending live TMDB ≥75%</x:v>
      </x:c>
      <x:c r="K2" s="46" t="str">
        <x:v>Officially a rom-com and a proven audience hit; My Ciné must still review quality</x:v>
      </x:c>
      <x:c r="L2" s="46" t="str">
        <x:v>https://www.netflix.com/tudum/articles/jennifer-lopez-brett-goldstein-office-romance-netflix</x:v>
      </x:c>
      <x:c r="M2" s="46" t="str">
        <x:v>https://about.netflix.com/news/what-we-watched-the-first-half-of-2026</x:v>
      </x:c>
      <x:c r="N2" s="50" t="n">
        <x:v>46237</x:v>
      </x:c>
    </x:row>
    <x:row r="3">
      <x:c r="A3" s="46" t="str">
        <x:v>NEW-002</x:v>
      </x:c>
      <x:c r="B3" s="46" t="str">
        <x:v>Voicemails for Isabelle</x:v>
      </x:c>
      <x:c r="C3" s="46" t="n">
        <x:v>2026</x:v>
      </x:c>
      <x:c r="D3" s="46" t="str">
        <x:v>Film</x:v>
      </x:c>
      <x:c r="E3" s="46" t="str">
        <x:v>United States</x:v>
      </x:c>
      <x:c r="F3" s="46" t="str">
        <x:v>English</x:v>
      </x:c>
      <x:c r="G3" s="46" t="str">
        <x:v>Candidate</x:v>
      </x:c>
      <x:c r="H3" s="46" t="str">
        <x:v>Anonymous connection; Grief; High-concept</x:v>
      </x:c>
      <x:c r="I3" s="46" t="str">
        <x:v>53M views in Netflix H1 2026</x:v>
      </x:c>
      <x:c r="J3" s="46" t="str">
        <x:v>Pending live TMDB ≥75%</x:v>
      </x:c>
      <x:c r="K3" s="46" t="str">
        <x:v>Clear rom-com identity; mixed critical response suggests Crowd Favorite rather than Critics' Choice</x:v>
      </x:c>
      <x:c r="L3" s="46" t="str">
        <x:v>https://www.netflix.com/title/81716219</x:v>
      </x:c>
      <x:c r="M3" s="46" t="str">
        <x:v>https://about.netflix.com/news/what-we-watched-the-first-half-of-2026</x:v>
      </x:c>
      <x:c r="N3" s="50" t="n">
        <x:v>46237</x:v>
      </x:c>
    </x:row>
    <x:row r="4">
      <x:c r="A4" s="46" t="str">
        <x:v>NEW-003</x:v>
      </x:c>
      <x:c r="B4" s="46" t="str">
        <x:v>People We Meet on Vacation</x:v>
      </x:c>
      <x:c r="C4" s="46" t="n">
        <x:v>2026</x:v>
      </x:c>
      <x:c r="D4" s="46" t="str">
        <x:v>Film</x:v>
      </x:c>
      <x:c r="E4" s="46" t="str">
        <x:v>United States</x:v>
      </x:c>
      <x:c r="F4" s="46" t="str">
        <x:v>English</x:v>
      </x:c>
      <x:c r="G4" s="46" t="str">
        <x:v>Candidate</x:v>
      </x:c>
      <x:c r="H4" s="46" t="str">
        <x:v>Friends-to-lovers; Travel; Book adaptation</x:v>
      </x:c>
      <x:c r="I4" s="46" t="str">
        <x:v>High-profile Netflix release</x:v>
      </x:c>
      <x:c r="J4" s="46" t="str">
        <x:v>Pending live TMDB ≥75%</x:v>
      </x:c>
      <x:c r="K4" s="46" t="str">
        <x:v>Clear genre identity; inclusion depends on quality and chemistry</x:v>
      </x:c>
      <x:c r="L4" s="46" t="str">
        <x:v>https://letterboxd.com/lfilmwatches/list/romcoms-romance-2026/</x:v>
      </x:c>
      <x:c r="M4" s="46" t="str">
        <x:v>https://www.netflix.com/tudum/articles/most-watched-romance-h1-2026</x:v>
      </x:c>
      <x:c r="N4" s="50" t="n">
        <x:v>46237</x:v>
      </x:c>
    </x:row>
    <x:row r="5">
      <x:c r="A5" s="46" t="str">
        <x:v>NEW-004</x:v>
      </x:c>
      <x:c r="B5" s="46" t="str">
        <x:v>How to Lose a Popularity Contest</x:v>
      </x:c>
      <x:c r="C5" s="46" t="n">
        <x:v>2026</x:v>
      </x:c>
      <x:c r="D5" s="46" t="str">
        <x:v>Film</x:v>
      </x:c>
      <x:c r="E5" s="46" t="str">
        <x:v>Unknown</x:v>
      </x:c>
      <x:c r="F5" s="46" t="str">
        <x:v>English</x:v>
      </x:c>
      <x:c r="G5" s="46" t="str">
        <x:v>Candidate</x:v>
      </x:c>
      <x:c r="H5" s="46" t="str">
        <x:v>Teen; Rivalry</x:v>
      </x:c>
      <x:c r="I5" s="46" t="str">
        <x:v>Listed in 2026 romance slate</x:v>
      </x:c>
      <x:c r="J5" s="46" t="str">
        <x:v>Pending</x:v>
      </x:c>
      <x:c r="K5" s="46" t="str">
        <x:v>Needs release, quality and availability verification</x:v>
      </x:c>
      <x:c r="L5" s="46" t="str">
        <x:v>https://letterboxd.com/lfilmwatches/list/romcoms-romance-2026/</x:v>
      </x:c>
      <x:c r="M5" s="46" t="str"/>
      <x:c r="N5" s="50" t="n">
        <x:v>46237</x:v>
      </x:c>
    </x:row>
    <x:row r="6">
      <x:c r="A6" s="46" t="str">
        <x:v>NEW-005</x:v>
      </x:c>
      <x:c r="B6" s="46" t="str">
        <x:v>Relationship Goals</x:v>
      </x:c>
      <x:c r="C6" s="46" t="n">
        <x:v>2026</x:v>
      </x:c>
      <x:c r="D6" s="46" t="str">
        <x:v>Film</x:v>
      </x:c>
      <x:c r="E6" s="46" t="str">
        <x:v>Unknown</x:v>
      </x:c>
      <x:c r="F6" s="46" t="str">
        <x:v>English</x:v>
      </x:c>
      <x:c r="G6" s="46" t="str">
        <x:v>Candidate</x:v>
      </x:c>
      <x:c r="H6" s="46" t="str">
        <x:v>Contemporary romance</x:v>
      </x:c>
      <x:c r="I6" s="46" t="str">
        <x:v>Listed in 2026 romance slate</x:v>
      </x:c>
      <x:c r="J6" s="46" t="str">
        <x:v>Pending</x:v>
      </x:c>
      <x:c r="K6" s="46" t="str">
        <x:v>Needs genre and quality verification</x:v>
      </x:c>
      <x:c r="L6" s="46" t="str">
        <x:v>https://letterboxd.com/lfilmwatches/list/romcoms-romance-2026/</x:v>
      </x:c>
      <x:c r="M6" s="46" t="str"/>
      <x:c r="N6" s="50" t="n">
        <x:v>46237</x:v>
      </x:c>
    </x:row>
    <x:row r="7">
      <x:c r="A7" s="46" t="str">
        <x:v>NEW-006</x:v>
      </x:c>
      <x:c r="B7" s="46" t="str">
        <x:v>Kissing Is the Easy Part</x:v>
      </x:c>
      <x:c r="C7" s="46" t="n">
        <x:v>2026</x:v>
      </x:c>
      <x:c r="D7" s="46" t="str">
        <x:v>Film</x:v>
      </x:c>
      <x:c r="E7" s="46" t="str">
        <x:v>Unknown</x:v>
      </x:c>
      <x:c r="F7" s="46" t="str">
        <x:v>English</x:v>
      </x:c>
      <x:c r="G7" s="46" t="str">
        <x:v>Candidate</x:v>
      </x:c>
      <x:c r="H7" s="46" t="str">
        <x:v>Book adaptation</x:v>
      </x:c>
      <x:c r="I7" s="46" t="str">
        <x:v>Listed in 2026 romance slate</x:v>
      </x:c>
      <x:c r="J7" s="46" t="str">
        <x:v>Pending</x:v>
      </x:c>
      <x:c r="K7" s="46" t="str">
        <x:v>Needs genre and quality verification</x:v>
      </x:c>
      <x:c r="L7" s="46" t="str">
        <x:v>https://letterboxd.com/lfilmwatches/list/romcoms-romance-2026/</x:v>
      </x:c>
      <x:c r="M7" s="46" t="str"/>
      <x:c r="N7" s="50" t="n">
        <x:v>46237</x:v>
      </x:c>
    </x:row>
    <x:row r="8">
      <x:c r="A8" s="46" t="str">
        <x:v>NEW-007</x:v>
      </x:c>
      <x:c r="B8" s="46" t="str">
        <x:v>You, Me &amp; Tuscany</x:v>
      </x:c>
      <x:c r="C8" s="46" t="n">
        <x:v>2026</x:v>
      </x:c>
      <x:c r="D8" s="46" t="str">
        <x:v>Film</x:v>
      </x:c>
      <x:c r="E8" s="46" t="str">
        <x:v>Unknown</x:v>
      </x:c>
      <x:c r="F8" s="46" t="str">
        <x:v>English</x:v>
      </x:c>
      <x:c r="G8" s="46" t="str">
        <x:v>Candidate</x:v>
      </x:c>
      <x:c r="H8" s="46" t="str">
        <x:v>Travel; Italy</x:v>
      </x:c>
      <x:c r="I8" s="46" t="str">
        <x:v>Listed in 2026 romance slate</x:v>
      </x:c>
      <x:c r="J8" s="46" t="str">
        <x:v>Pending</x:v>
      </x:c>
      <x:c r="K8" s="46" t="str">
        <x:v>Potential Passport/Travel pick; verify comedy balance</x:v>
      </x:c>
      <x:c r="L8" s="46" t="str">
        <x:v>https://letterboxd.com/lfilmwatches/list/romcoms-romance-2026/</x:v>
      </x:c>
      <x:c r="M8" s="46" t="str"/>
      <x:c r="N8" s="50" t="n">
        <x:v>46237</x:v>
      </x:c>
    </x:row>
    <x:row r="9">
      <x:c r="A9" s="46" t="str">
        <x:v>NEW-008</x:v>
      </x:c>
      <x:c r="B9" s="46" t="str">
        <x:v>40 Dates and 40 Nights</x:v>
      </x:c>
      <x:c r="C9" s="46" t="n">
        <x:v>2026</x:v>
      </x:c>
      <x:c r="D9" s="46" t="str">
        <x:v>Film</x:v>
      </x:c>
      <x:c r="E9" s="46" t="str">
        <x:v>Unknown</x:v>
      </x:c>
      <x:c r="F9" s="46" t="str">
        <x:v>English</x:v>
      </x:c>
      <x:c r="G9" s="46" t="str">
        <x:v>Candidate</x:v>
      </x:c>
      <x:c r="H9" s="46" t="str">
        <x:v>Dating challenge</x:v>
      </x:c>
      <x:c r="I9" s="46" t="str">
        <x:v>Listed in 2026 romance slate</x:v>
      </x:c>
      <x:c r="J9" s="46" t="str">
        <x:v>Pending</x:v>
      </x:c>
      <x:c r="K9" s="46" t="str">
        <x:v>Likely romcom premise; verify release and reviews</x:v>
      </x:c>
      <x:c r="L9" s="46" t="str">
        <x:v>https://letterboxd.com/lfilmwatches/list/romcoms-romance-2026/</x:v>
      </x:c>
      <x:c r="M9" s="46" t="str"/>
      <x:c r="N9" s="50" t="n">
        <x:v>46237</x:v>
      </x:c>
    </x:row>
    <x:row r="10">
      <x:c r="A10" s="46" t="str">
        <x:v>NEW-009</x:v>
      </x:c>
      <x:c r="B10" s="46" t="str">
        <x:v>Girls Like Girls</x:v>
      </x:c>
      <x:c r="C10" s="46" t="n">
        <x:v>2026</x:v>
      </x:c>
      <x:c r="D10" s="46" t="str">
        <x:v>Film</x:v>
      </x:c>
      <x:c r="E10" s="46" t="str">
        <x:v>Unknown</x:v>
      </x:c>
      <x:c r="F10" s="46" t="str">
        <x:v>English</x:v>
      </x:c>
      <x:c r="G10" s="46" t="str">
        <x:v>Candidate</x:v>
      </x:c>
      <x:c r="H10" s="46" t="str">
        <x:v>Queer romance</x:v>
      </x:c>
      <x:c r="I10" s="46" t="str">
        <x:v>Listed in 2026 romance slate</x:v>
      </x:c>
      <x:c r="J10" s="46" t="str">
        <x:v>Pending</x:v>
      </x:c>
      <x:c r="K10" s="46" t="str">
        <x:v>Verify whether comedy is central</x:v>
      </x:c>
      <x:c r="L10" s="46" t="str">
        <x:v>https://letterboxd.com/lfilmwatches/list/romcoms-romance-2026/</x:v>
      </x:c>
      <x:c r="M10" s="46" t="str"/>
      <x:c r="N10" s="50" t="n">
        <x:v>46237</x:v>
      </x:c>
    </x:row>
    <x:row r="11">
      <x:c r="A11" s="46" t="str">
        <x:v>NEW-010</x:v>
      </x:c>
      <x:c r="B11" s="46" t="str">
        <x:v>Love on Tap</x:v>
      </x:c>
      <x:c r="C11" s="46" t="n">
        <x:v>2026</x:v>
      </x:c>
      <x:c r="D11" s="46" t="str">
        <x:v>Film</x:v>
      </x:c>
      <x:c r="E11" s="46" t="str">
        <x:v>Unknown</x:v>
      </x:c>
      <x:c r="F11" s="46" t="str">
        <x:v>English</x:v>
      </x:c>
      <x:c r="G11" s="46" t="str">
        <x:v>Candidate</x:v>
      </x:c>
      <x:c r="H11" s="46" t="str">
        <x:v>Workplace; Food &amp; drink</x:v>
      </x:c>
      <x:c r="I11" s="46" t="str">
        <x:v>Listed in 2026 romance slate</x:v>
      </x:c>
      <x:c r="J11" s="46" t="str">
        <x:v>Pending</x:v>
      </x:c>
      <x:c r="K11" s="46" t="str">
        <x:v>Verify genre identity and quality</x:v>
      </x:c>
      <x:c r="L11" s="46" t="str">
        <x:v>https://letterboxd.com/lfilmwatches/list/romcoms-romance-2026/</x:v>
      </x:c>
      <x:c r="M11" s="46" t="str"/>
      <x:c r="N11" s="50" t="n">
        <x:v>46237</x:v>
      </x:c>
    </x:row>
    <x:row r="12">
      <x:c r="A12" s="46" t="str">
        <x:v>NEW-011</x:v>
      </x:c>
      <x:c r="B12" s="46" t="str">
        <x:v>The Love Hypothesis</x:v>
      </x:c>
      <x:c r="C12" s="46" t="n">
        <x:v>2026</x:v>
      </x:c>
      <x:c r="D12" s="46" t="str">
        <x:v>Film</x:v>
      </x:c>
      <x:c r="E12" s="46" t="str">
        <x:v>Unknown</x:v>
      </x:c>
      <x:c r="F12" s="46" t="str">
        <x:v>English</x:v>
      </x:c>
      <x:c r="G12" s="46" t="str">
        <x:v>Candidate</x:v>
      </x:c>
      <x:c r="H12" s="46" t="str">
        <x:v>Academic; Fake dating; Book adaptation</x:v>
      </x:c>
      <x:c r="I12" s="46" t="str">
        <x:v>Listed in 2026 romance slate</x:v>
      </x:c>
      <x:c r="J12" s="46" t="str">
        <x:v>Pending</x:v>
      </x:c>
      <x:c r="K12" s="46" t="str">
        <x:v>Strong expected romcom identity; verify release and score</x:v>
      </x:c>
      <x:c r="L12" s="46" t="str">
        <x:v>https://letterboxd.com/lfilmwatches/list/romcoms-romance-2026/</x:v>
      </x:c>
      <x:c r="M12" s="46" t="str"/>
      <x:c r="N12" s="50" t="n">
        <x:v>46237</x:v>
      </x:c>
    </x:row>
    <x:row r="13">
      <x:c r="A13" s="46" t="str">
        <x:v>NEW-012</x:v>
      </x:c>
      <x:c r="B13" s="46" t="str">
        <x:v>Love Language</x:v>
      </x:c>
      <x:c r="C13" s="46" t="n">
        <x:v>2026</x:v>
      </x:c>
      <x:c r="D13" s="46" t="str">
        <x:v>Film</x:v>
      </x:c>
      <x:c r="E13" s="46" t="str">
        <x:v>Unknown</x:v>
      </x:c>
      <x:c r="F13" s="46" t="str">
        <x:v>English</x:v>
      </x:c>
      <x:c r="G13" s="46" t="str">
        <x:v>Candidate</x:v>
      </x:c>
      <x:c r="H13" s="46" t="str">
        <x:v>Contemporary romance</x:v>
      </x:c>
      <x:c r="I13" s="46" t="str">
        <x:v>Listed in 2026 romance slate</x:v>
      </x:c>
      <x:c r="J13" s="46" t="str">
        <x:v>Pending</x:v>
      </x:c>
      <x:c r="K13" s="46" t="str">
        <x:v>Verify comedy and audience response</x:v>
      </x:c>
      <x:c r="L13" s="46" t="str">
        <x:v>https://letterboxd.com/lfilmwatches/list/romcoms-romance-2026/</x:v>
      </x:c>
      <x:c r="M13" s="46" t="str"/>
      <x:c r="N13" s="50" t="n">
        <x:v>46237</x:v>
      </x:c>
    </x:row>
    <x:row r="14">
      <x:c r="A14" s="46" t="str">
        <x:v>NEW-013</x:v>
      </x:c>
      <x:c r="B14" s="46" t="str">
        <x:v>You Deserve Each Other</x:v>
      </x:c>
      <x:c r="C14" s="46" t="n">
        <x:v>2026</x:v>
      </x:c>
      <x:c r="D14" s="46" t="str">
        <x:v>Film</x:v>
      </x:c>
      <x:c r="E14" s="46" t="str">
        <x:v>Unknown</x:v>
      </x:c>
      <x:c r="F14" s="46" t="str">
        <x:v>English</x:v>
      </x:c>
      <x:c r="G14" s="46" t="str">
        <x:v>Candidate</x:v>
      </x:c>
      <x:c r="H14" s="46" t="str">
        <x:v>Engaged couple; Enemies-to-lovers</x:v>
      </x:c>
      <x:c r="I14" s="46" t="str">
        <x:v>Listed in 2026 romance slate</x:v>
      </x:c>
      <x:c r="J14" s="46" t="str">
        <x:v>Pending</x:v>
      </x:c>
      <x:c r="K14" s="46" t="str">
        <x:v>High-potential specialist pick; verify execution</x:v>
      </x:c>
      <x:c r="L14" s="46" t="str">
        <x:v>https://letterboxd.com/lfilmwatches/list/romcoms-romance-2026/</x:v>
      </x:c>
      <x:c r="M14" s="46" t="str"/>
      <x:c r="N14" s="50" t="n">
        <x:v>46237</x:v>
      </x:c>
    </x:row>
    <x:row r="15">
      <x:c r="A15" s="46" t="str">
        <x:v>NEW-014</x:v>
      </x:c>
      <x:c r="B15" s="46" t="str">
        <x:v>It Happened One Summer</x:v>
      </x:c>
      <x:c r="C15" s="46" t="n">
        <x:v>2026</x:v>
      </x:c>
      <x:c r="D15" s="46" t="str">
        <x:v>Film</x:v>
      </x:c>
      <x:c r="E15" s="46" t="str">
        <x:v>Unknown</x:v>
      </x:c>
      <x:c r="F15" s="46" t="str">
        <x:v>English</x:v>
      </x:c>
      <x:c r="G15" s="46" t="str">
        <x:v>Candidate</x:v>
      </x:c>
      <x:c r="H15" s="46" t="str">
        <x:v>Small town; Opposites attract</x:v>
      </x:c>
      <x:c r="I15" s="46" t="str">
        <x:v>Listed in 2026 romance slate</x:v>
      </x:c>
      <x:c r="J15" s="46" t="str">
        <x:v>Pending</x:v>
      </x:c>
      <x:c r="K15" s="46" t="str">
        <x:v>Likely true romcom; verify quality and release</x:v>
      </x:c>
      <x:c r="L15" s="46" t="str">
        <x:v>https://letterboxd.com/lfilmwatches/list/romcoms-romance-2026/</x:v>
      </x:c>
      <x:c r="M15" s="46" t="str"/>
      <x:c r="N15" s="50" t="n">
        <x:v>46237</x:v>
      </x:c>
    </x:row>
    <x:row r="16">
      <x:c r="A16" s="46" t="str">
        <x:v>NEW-015</x:v>
      </x:c>
      <x:c r="B16" s="46" t="str">
        <x:v>Jane Austen Wrecked My Life</x:v>
      </x:c>
      <x:c r="C16" s="46" t="n">
        <x:v>2024</x:v>
      </x:c>
      <x:c r="D16" s="46" t="str">
        <x:v>Film</x:v>
      </x:c>
      <x:c r="E16" s="46" t="str">
        <x:v>France</x:v>
      </x:c>
      <x:c r="F16" s="46" t="str">
        <x:v>French</x:v>
      </x:c>
      <x:c r="G16" s="46" t="str">
        <x:v>Approved</x:v>
      </x:c>
      <x:c r="H16" s="46" t="str">
        <x:v>Literary; France; Writer protagonist</x:v>
      </x:c>
      <x:c r="I16" s="46" t="str">
        <x:v>Strong critical response</x:v>
      </x:c>
      <x:c r="J16" s="46" t="str">
        <x:v>Must pass live TMDB ≥75%</x:v>
      </x:c>
      <x:c r="K16" s="46" t="str">
        <x:v>Strong Canon candidate for Passport + Critics' Choice</x:v>
      </x:c>
      <x:c r="L16" s="46" t="str">
        <x:v>https://editorial.rottentomatoes.com/guide/best-new-rom-coms-romance-movies/</x:v>
      </x:c>
      <x:c r="M16" s="46" t="str"/>
      <x:c r="N16" s="50" t="n">
        <x:v>46237</x:v>
      </x:c>
    </x:row>
    <x:row r="17">
      <x:c r="A17" s="46" t="str">
        <x:v>NEW-016</x:v>
      </x:c>
      <x:c r="B17" s="46" t="str">
        <x:v>Hit Man</x:v>
      </x:c>
      <x:c r="C17" s="46" t="n">
        <x:v>2024</x:v>
      </x:c>
      <x:c r="D17" s="46" t="str">
        <x:v>Film</x:v>
      </x:c>
      <x:c r="E17" s="46" t="str">
        <x:v>United States</x:v>
      </x:c>
      <x:c r="F17" s="46" t="str">
        <x:v>English</x:v>
      </x:c>
      <x:c r="G17" s="46" t="str">
        <x:v>Review</x:v>
      </x:c>
      <x:c r="H17" s="46" t="str">
        <x:v>Crime; Identity play; Romance</x:v>
      </x:c>
      <x:c r="I17" s="46" t="str">
        <x:v>Widely acclaimed</x:v>
      </x:c>
      <x:c r="J17" s="46" t="str">
        <x:v>Must pass live TMDB ≥75%</x:v>
      </x:c>
      <x:c r="K17" s="46" t="str">
        <x:v>Excellent film, but primary identity may be crime-comedy rather than Romcom</x:v>
      </x:c>
      <x:c r="L17" s="46" t="str">
        <x:v>https://www.timeout.com/film/best-romantic-movies-on-netflix</x:v>
      </x:c>
      <x:c r="M17" s="46" t="str"/>
      <x:c r="N17" s="50" t="n">
        <x:v>46237</x:v>
      </x:c>
    </x:row>
    <x:row r="18">
      <x:c r="A18" s="46" t="str">
        <x:v>NEW-017</x:v>
      </x:c>
      <x:c r="B18" s="46" t="str">
        <x:v>The Idea of You</x:v>
      </x:c>
      <x:c r="C18" s="46" t="n">
        <x:v>2024</x:v>
      </x:c>
      <x:c r="D18" s="46" t="str">
        <x:v>Film</x:v>
      </x:c>
      <x:c r="E18" s="46" t="str">
        <x:v>United States</x:v>
      </x:c>
      <x:c r="F18" s="46" t="str">
        <x:v>English</x:v>
      </x:c>
      <x:c r="G18" s="46" t="str">
        <x:v>Review</x:v>
      </x:c>
      <x:c r="H18" s="46" t="str">
        <x:v>Age-gap; Celebrity romance</x:v>
      </x:c>
      <x:c r="I18" s="46" t="str">
        <x:v>Popular streaming title</x:v>
      </x:c>
      <x:c r="J18" s="46" t="str">
        <x:v>Must pass live TMDB ≥75%</x:v>
      </x:c>
      <x:c r="K18" s="46" t="str">
        <x:v>Romance-first, comedy secondary; likely Romance database, not Romcom Canon</x:v>
      </x:c>
      <x:c r="L18" s="46" t="str">
        <x:v>https://editorial.rottentomatoes.com/guide/best-new-rom-coms-romance-movies/</x:v>
      </x:c>
      <x:c r="M18" s="46" t="str"/>
      <x:c r="N18" s="50" t="n">
        <x:v>46237</x:v>
      </x:c>
    </x:row>
    <x:row r="19">
      <x:c r="A19" s="46" t="str">
        <x:v>NEW-018</x:v>
      </x:c>
      <x:c r="B19" s="46" t="str">
        <x:v>Anyone But You</x:v>
      </x:c>
      <x:c r="C19" s="46" t="n">
        <x:v>2023</x:v>
      </x:c>
      <x:c r="D19" s="46" t="str">
        <x:v>Film</x:v>
      </x:c>
      <x:c r="E19" s="46" t="str">
        <x:v>United States</x:v>
      </x:c>
      <x:c r="F19" s="46" t="str">
        <x:v>English</x:v>
      </x:c>
      <x:c r="G19" s="46" t="str">
        <x:v>Approved</x:v>
      </x:c>
      <x:c r="H19" s="46" t="str">
        <x:v>Enemies-to-lovers; Destination wedding</x:v>
      </x:c>
      <x:c r="I19" s="46" t="str">
        <x:v>Major mainstream hit</x:v>
      </x:c>
      <x:c r="J19" s="46" t="str">
        <x:v>Must pass live TMDB ≥75%</x:v>
      </x:c>
      <x:c r="K19" s="46" t="str">
        <x:v>Proven crowd-favorite modern romcom</x:v>
      </x:c>
      <x:c r="L19" s="46" t="str">
        <x:v>https://www.indiewire.com/gallery/best-rom-coms-netflix-right-now/</x:v>
      </x:c>
      <x:c r="M19" s="46" t="str"/>
      <x:c r="N19" s="50" t="n">
        <x:v>46237</x:v>
      </x:c>
    </x:row>
  </x:sheetData>
  <x:conditionalFormatting sqref="G2:G19">
    <x:cfRule type="expression" dxfId="3" priority="1">
      <x:formula>G2="Approved"</x:formula>
    </x:cfRule>
    <x:cfRule type="expression" dxfId="4" priority="2">
      <x:formula>G2="Candidate"</x:formula>
    </x:cfRule>
    <x:cfRule type="expression" dxfId="5" priority="3">
      <x:formula>G2="Review"</x:formula>
    </x:cfRule>
  </x:conditionalFormatting>
  <x:conditionalFormatting sqref="A2:N19">
    <x:cfRule type="expression" dxfId="7" priority="4">
      <x:formula>MOD(ROW(),2)=0</x:formula>
    </x:cfRule>
  </x:conditionalFormatting>
  <x:dataValidations count="1">
    <x:dataValidation type="list" sqref="G2:G200">
      <x:formula1>Lists!$A$2:$A$5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e608d6108a47f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1" hidden="0" customWidth="1"/>
    <x:col min="4" max="4" width="18" hidden="0" customWidth="1"/>
    <x:col min="5" max="5" width="22" hidden="0" customWidth="1"/>
    <x:col min="6" max="6" width="20" hidden="0" customWidth="1"/>
    <x:col min="7" max="7" width="38" hidden="0" customWidth="1"/>
    <x:col min="8" max="8" width="32" hidden="0" customWidth="1"/>
  </x:cols>
  <x:sheetData>
    <x:row r="1">
      <x:c r="A1" s="53" t="str">
        <x:v>THE MY CINÉ RULE OF SEVEN — ROMCOM</x:v>
      </x:c>
      <x:c r="B1" s="53"/>
      <x:c r="C1" s="53"/>
      <x:c r="D1" s="53"/>
      <x:c r="E1" s="53"/>
      <x:c r="F1" s="53"/>
      <x:c r="G1" s="53"/>
      <x:c r="H1" s="53"/>
    </x:row>
    <x:row r="2">
      <x:c r="A2" s="53"/>
      <x:c r="B2" s="53"/>
      <x:c r="C2" s="53"/>
      <x:c r="D2" s="53"/>
      <x:c r="E2" s="53"/>
      <x:c r="F2" s="53"/>
      <x:c r="G2" s="53"/>
      <x:c r="H2" s="53"/>
    </x:row>
    <x:row r="4">
      <x:c r="A4" s="43" t="str">
        <x:v>Slot</x:v>
      </x:c>
      <x:c r="B4" s="43" t="str">
        <x:v>Role</x:v>
      </x:c>
      <x:c r="C4" s="43" t="str">
        <x:v>Purpose</x:v>
      </x:c>
      <x:c r="D4" s="43" t="str">
        <x:v>Preferred Era</x:v>
      </x:c>
      <x:c r="E4" s="43" t="str">
        <x:v>Country Rule</x:v>
      </x:c>
      <x:c r="F4" s="43" t="str">
        <x:v>Viewer Type</x:v>
      </x:c>
      <x:c r="G4" s="43" t="str">
        <x:v>Selection Rule</x:v>
      </x:c>
      <x:c r="H4" s="43" t="str">
        <x:v>Fallback</x:v>
      </x:c>
    </x:row>
    <x:row r="5">
      <x:c r="A5" s="46" t="n">
        <x:v>1</x:v>
      </x:c>
      <x:c r="B5" s="46" t="str">
        <x:v>🍿 Tonight's Pick</x:v>
      </x:c>
      <x:c r="C5" s="46" t="str">
        <x:v>Best approved new arrival</x:v>
      </x:c>
      <x:c r="D5" s="46" t="str">
        <x:v>2026 → 2025 → 2024</x:v>
      </x:c>
      <x:c r="E5" s="46" t="str">
        <x:v>No country repetition priority</x:v>
      </x:c>
      <x:c r="F5" s="46" t="str">
        <x:v>Casual + broad appeal</x:v>
      </x:c>
      <x:c r="G5" s="46" t="str">
        <x:v>Approved recent title; live TMDB ≥75%; minimum vote confidence</x:v>
      </x:c>
      <x:c r="H5" s="46" t="str">
        <x:v>Strongest unused modern Canon title</x:v>
      </x:c>
    </x:row>
    <x:row r="6">
      <x:c r="A6" s="46" t="n">
        <x:v>2</x:v>
      </x:c>
      <x:c r="B6" s="46" t="str">
        <x:v>⭐ Crowd Favorite</x:v>
      </x:c>
      <x:c r="C6" s="46" t="str">
        <x:v>Famous, accessible, dependable</x:v>
      </x:c>
      <x:c r="D6" s="46" t="str">
        <x:v>1990–present</x:v>
      </x:c>
      <x:c r="E6" s="46" t="str">
        <x:v>Prefer different country from hero</x:v>
      </x:c>
      <x:c r="F6" s="46" t="str">
        <x:v>Casual</x:v>
      </x:c>
      <x:c r="G6" s="46" t="str">
        <x:v>High recognition and rewatchability</x:v>
      </x:c>
      <x:c r="H6" s="46" t="str">
        <x:v>Best unused Essential</x:v>
      </x:c>
    </x:row>
    <x:row r="7">
      <x:c r="A7" s="46" t="n">
        <x:v>3</x:v>
      </x:c>
      <x:c r="B7" s="46" t="str">
        <x:v>🎞️ Classic Choice</x:v>
      </x:c>
      <x:c r="C7" s="46" t="str">
        <x:v>Teach genre history without homework</x:v>
      </x:c>
      <x:c r="D7" s="46" t="str">
        <x:v>Pre-1990 preferred</x:v>
      </x:c>
      <x:c r="E7" s="46" t="str">
        <x:v>Max two USA total</x:v>
      </x:c>
      <x:c r="F7" s="46" t="str">
        <x:v>Specialist + Cinephile</x:v>
      </x:c>
      <x:c r="G7" s="46" t="str">
        <x:v>Foundational title that still plays well today</x:v>
      </x:c>
      <x:c r="H7" s="46" t="str">
        <x:v>Modern classic 1990–2005</x:v>
      </x:c>
    </x:row>
    <x:row r="8">
      <x:c r="A8" s="46" t="n">
        <x:v>4</x:v>
      </x:c>
      <x:c r="B8" s="46" t="str">
        <x:v>🌍 Passport Pick</x:v>
      </x:c>
      <x:c r="C8" s="46" t="str">
        <x:v>Travel through another romcom culture</x:v>
      </x:c>
      <x:c r="D8" s="46" t="str">
        <x:v>Any</x:v>
      </x:c>
      <x:c r="E8" s="46" t="str">
        <x:v>Non-US; rotate regions</x:v>
      </x:c>
      <x:c r="F8" s="46" t="str">
        <x:v>Specialist</x:v>
      </x:c>
      <x:c r="G8" s="46" t="str">
        <x:v>Distinct national tradition</x:v>
      </x:c>
      <x:c r="H8" s="46" t="str">
        <x:v>Underused country</x:v>
      </x:c>
    </x:row>
    <x:row r="9">
      <x:c r="A9" s="46" t="n">
        <x:v>5</x:v>
      </x:c>
      <x:c r="B9" s="46" t="str">
        <x:v>💎 Hidden Discovery</x:v>
      </x:c>
      <x:c r="C9" s="46" t="str">
        <x:v>Lesser-known but excellent</x:v>
      </x:c>
      <x:c r="D9" s="46" t="str">
        <x:v>Any</x:v>
      </x:c>
      <x:c r="E9" s="46" t="str">
        <x:v>Prefer underrepresented country</x:v>
      </x:c>
      <x:c r="F9" s="46" t="str">
        <x:v>Specialist</x:v>
      </x:c>
      <x:c r="G9" s="46" t="str">
        <x:v>Strong satisfaction, lower awareness</x:v>
      </x:c>
      <x:c r="H9" s="46" t="str">
        <x:v>Outstanding-tier title</x:v>
      </x:c>
    </x:row>
    <x:row r="10">
      <x:c r="A10" s="46" t="n">
        <x:v>6</x:v>
      </x:c>
      <x:c r="B10" s="46" t="str">
        <x:v>🏆 Critics' Choice</x:v>
      </x:c>
      <x:c r="C10" s="46" t="str">
        <x:v>Reward writing and craft</x:v>
      </x:c>
      <x:c r="D10" s="46" t="str">
        <x:v>Any</x:v>
      </x:c>
      <x:c r="E10" s="46" t="str">
        <x:v>Avoid country duplication</x:v>
      </x:c>
      <x:c r="F10" s="46" t="str">
        <x:v>Cinephile</x:v>
      </x:c>
      <x:c r="G10" s="46" t="str">
        <x:v>High cinematic craft and genre fit</x:v>
      </x:c>
      <x:c r="H10" s="46" t="str">
        <x:v>Masterpiece or Essential</x:v>
      </x:c>
    </x:row>
    <x:row r="11">
      <x:c r="A11" s="46" t="n">
        <x:v>7</x:v>
      </x:c>
      <x:c r="B11" s="46" t="str">
        <x:v>✨ Curator's Surprise</x:v>
      </x:c>
      <x:c r="C11" s="46" t="str">
        <x:v>Unexpected but unquestionably Romcom</x:v>
      </x:c>
      <x:c r="D11" s="46" t="str">
        <x:v>Any</x:v>
      </x:c>
      <x:c r="E11" s="46" t="str">
        <x:v>Restores balance</x:v>
      </x:c>
      <x:c r="F11" s="46" t="str">
        <x:v>Cinephile + discovery</x:v>
      </x:c>
      <x:c r="G11" s="46" t="str">
        <x:v>Different trope, format or tone</x:v>
      </x:c>
      <x:c r="H11" s="46" t="str">
        <x:v>Best diversity contributor</x:v>
      </x:c>
    </x:row>
    <x:row r="13">
      <x:c r="A13" s="56" t="str">
        <x:v>Hard Batch Constraints</x:v>
      </x:c>
      <x:c r="B13" s="56"/>
      <x:c r="C13" s="56"/>
      <x:c r="D13" s="56"/>
      <x:c r="E13" s="56"/>
      <x:c r="F13" s="56"/>
      <x:c r="G13" s="56"/>
      <x:c r="H13" s="56"/>
    </x:row>
    <x:row r="14">
      <x:c r="A14" s="32" t="str">
        <x:v>Exactly 7</x:v>
      </x:c>
      <x:c r="B14" s="37" t="str">
        <x:v>Never six, never eight.</x:v>
      </x:c>
    </x:row>
    <x:row r="15">
      <x:c r="A15" s="32" t="str">
        <x:v>No repeats</x:v>
      </x:c>
      <x:c r="B15" s="37" t="str">
        <x:v>No title repeats within seven exploration batches; preserve session history across Start Fresh.</x:v>
      </x:c>
    </x:row>
    <x:row r="16">
      <x:c r="A16" s="32" t="str">
        <x:v>Country balance</x:v>
      </x:c>
      <x:c r="B16" s="37" t="str">
        <x:v>Maximum two titles from one country; normally maximum one East Asian title unless explicitly requested.</x:v>
      </x:c>
    </x:row>
    <x:row r="17">
      <x:c r="A17" s="32" t="str">
        <x:v>Era balance</x:v>
      </x:c>
      <x:c r="B17" s="37" t="str">
        <x:v>Maximum two classics and maximum two titles from the same decade.</x:v>
      </x:c>
    </x:row>
    <x:row r="18">
      <x:c r="A18" s="32" t="str">
        <x:v>Format balance</x:v>
      </x:c>
      <x:c r="B18" s="37" t="str">
        <x:v>When Both is selected: alternate 4 films/3 series and 3 films/4 series.</x:v>
      </x:c>
    </x:row>
    <x:row r="19">
      <x:c r="A19" s="32" t="str">
        <x:v>Quality</x:v>
      </x:c>
      <x:c r="B19" s="37" t="str">
        <x:v>Live TMDB score must be at least 75%. No editorial exception.</x:v>
      </x:c>
    </x:row>
    <x:row r="20">
      <x:c r="A20" s="32" t="str">
        <x:v>Identity</x:v>
      </x:c>
      <x:c r="B20" s="37" t="str">
        <x:v>Every title must have Primary Identity = Romcom in the My Ciné Database.</x:v>
      </x:c>
    </x:row>
  </x:sheetData>
  <x:mergeCells>
    <x:mergeCell ref="A1:H2"/>
    <x:mergeCell ref="A13:H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2" hidden="0" customWidth="1"/>
    <x:col min="3" max="3" width="70" hidden="0" customWidth="1"/>
  </x:cols>
  <x:sheetData>
    <x:row r="1">
      <x:c r="A1" s="43" t="str">
        <x:v>Source</x:v>
      </x:c>
      <x:c r="B1" s="43" t="str">
        <x:v>Use in Database</x:v>
      </x:c>
      <x:c r="C1" s="43" t="str">
        <x:v>URL</x:v>
      </x:c>
    </x:row>
    <x:row r="2">
      <x:c r="A2" s="46" t="str">
        <x:v>Rotten Tomatoes — 200 Best Romantic Comedies of All Time</x:v>
      </x:c>
      <x:c r="B2" s="46" t="str">
        <x:v>Historical and modern candidate consensus</x:v>
      </x:c>
      <x:c r="C2" s="46" t="str">
        <x:v>https://editorial.rottentomatoes.com/guide/best-romantic-comedies-of-all-time/</x:v>
      </x:c>
    </x:row>
    <x:row r="3">
      <x:c r="A3" s="46" t="str">
        <x:v>Time Out — Best Romcoms of All Time, updated 2026</x:v>
      </x:c>
      <x:c r="B3" s="46" t="str">
        <x:v>Editorial consensus and historical breadth</x:v>
      </x:c>
      <x:c r="C3" s="46" t="str">
        <x:v>https://www.timeout.com/film/the-70-best-romcoms-of-all-time</x:v>
      </x:c>
    </x:row>
    <x:row r="4">
      <x:c r="A4" s="46" t="str">
        <x:v>IndieWire — 105 Best Rom-Coms of All Time</x:v>
      </x:c>
      <x:c r="B4" s="46" t="str">
        <x:v>Indie, international and modern coverage</x:v>
      </x:c>
      <x:c r="C4" s="46" t="str">
        <x:v>https://www.indiewire.com/gallery/best-romantic-comedies-funny-movies-love-rom-com/</x:v>
      </x:c>
    </x:row>
    <x:row r="5">
      <x:c r="A5" s="46" t="str">
        <x:v>BFI — Great Screwball Comedies</x:v>
      </x:c>
      <x:c r="B5" s="46" t="str">
        <x:v>Historical genre foundation</x:v>
      </x:c>
      <x:c r="C5" s="46" t="str">
        <x:v>https://www.bfi.org.uk/lists/10-great-screwball-comedies</x:v>
      </x:c>
    </x:row>
    <x:row r="6">
      <x:c r="A6" s="46" t="str">
        <x:v>BFI — Romcoms starring people of colour</x:v>
      </x:c>
      <x:c r="B6" s="46" t="str">
        <x:v>Representation and cultural breadth</x:v>
      </x:c>
      <x:c r="C6" s="46" t="str">
        <x:v>https://www.bfi.org.uk/lists/10-great-romcoms-starring-people-colour</x:v>
      </x:c>
    </x:row>
    <x:row r="7">
      <x:c r="A7" s="46" t="str">
        <x:v>Letterboxd — Romcoms &amp; Romance 2026</x:v>
      </x:c>
      <x:c r="B7" s="46" t="str">
        <x:v>2026 discovery list; not a quality endorsement</x:v>
      </x:c>
      <x:c r="C7" s="46" t="str">
        <x:v>https://letterboxd.com/lfilmwatches/list/romcoms-romance-2026/</x:v>
      </x:c>
    </x:row>
    <x:row r="8">
      <x:c r="A8" s="46" t="str">
        <x:v>Netflix Tudum — Most-Watched Romance H1 2026</x:v>
      </x:c>
      <x:c r="B8" s="46" t="str">
        <x:v>Popularity evidence for current Netflix romance</x:v>
      </x:c>
      <x:c r="C8" s="46" t="str">
        <x:v>https://www.netflix.com/tudum/articles/most-watched-romance-h1-2026</x:v>
      </x:c>
    </x:row>
    <x:row r="9">
      <x:c r="A9" s="46" t="str">
        <x:v>Netflix About — What We Watched H1 2026</x:v>
      </x:c>
      <x:c r="B9" s="46" t="str">
        <x:v>Office Romance 58M; Voicemails for Isabelle 53M</x:v>
      </x:c>
      <x:c r="C9" s="46" t="str">
        <x:v>https://about.netflix.com/news/what-we-watched-the-first-half-of-2026</x:v>
      </x:c>
    </x:row>
    <x:row r="10">
      <x:c r="A10" s="46" t="str">
        <x:v>Netflix Tudum — Office Romance</x:v>
      </x:c>
      <x:c r="B10" s="46" t="str">
        <x:v>Official genre, premise and release evidence</x:v>
      </x:c>
      <x:c r="C10" s="46" t="str">
        <x:v>https://www.netflix.com/tudum/articles/jennifer-lopez-brett-goldstein-office-romance-netflix</x:v>
      </x:c>
    </x:row>
    <x:row r="11">
      <x:c r="A11" s="46" t="str">
        <x:v>Rotten Tomatoes — Best New Rom-Coms and Romance Movies</x:v>
      </x:c>
      <x:c r="B11" s="46" t="str">
        <x:v>Recent-arrival discovery and quality</x:v>
      </x:c>
      <x:c r="C11" s="46" t="str">
        <x:v>https://editorial.rottentomatoes.com/guide/best-new-rom-coms-romance-movies/</x:v>
      </x:c>
    </x:row>
  </x:sheetData>
  <x:pageMargins left="0.7" right="0.7" top="0.75" bottom="0.75" header="0.3" footer="0.3"/>
  <x:tableParts count="1">
    <x:tablePart xmlns:r="http://schemas.openxmlformats.org/officeDocument/2006/relationships" r:id="R2aa42fa147914fbc"/>
  </x:tableParts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42" t="str">
        <x:v>Status</x:v>
      </x:c>
      <x:c r="B1" s="42" t="str">
        <x:v>Tier</x:v>
      </x:c>
      <x:c r="C1" s="42" t="str">
        <x:v>Type</x:v>
      </x:c>
      <x:c r="D1" s="42" t="str">
        <x:v>Era</x:v>
      </x:c>
    </x:row>
    <x:row r="2">
      <x:c r="A2" t="str">
        <x:v>Candidate</x:v>
      </x:c>
      <x:c r="B2" t="str">
        <x:v>Masterpiece</x:v>
      </x:c>
      <x:c r="C2" t="str">
        <x:v>Film</x:v>
      </x:c>
      <x:c r="D2" t="str">
        <x:v>Classic</x:v>
      </x:c>
    </x:row>
    <x:row r="3">
      <x:c r="A3" t="str">
        <x:v>Review</x:v>
      </x:c>
      <x:c r="B3" t="str">
        <x:v>Essential</x:v>
      </x:c>
      <x:c r="C3" t="str">
        <x:v>Series</x:v>
      </x:c>
      <x:c r="D3" t="str">
        <x:v>Modern</x:v>
      </x:c>
    </x:row>
    <x:row r="4">
      <x:c r="A4" t="str">
        <x:v>Approved</x:v>
      </x:c>
      <x:c r="B4" t="str">
        <x:v>Outstanding</x:v>
      </x:c>
      <x:c r="D4" t="str">
        <x:v>Current</x:v>
      </x:c>
    </x:row>
    <x:row r="5">
      <x:c r="A5" t="str">
        <x:v>Rejected</x:v>
      </x:c>
    </x:row>
  </x:sheetData>
  <x:pageMargins left="0.7" right="0.7" top="0.75" bottom="0.75" header="0.3" footer="0.3"/>
</x:worksheet>
</file>